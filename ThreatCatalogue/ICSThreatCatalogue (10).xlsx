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danielegranata/SystematicThreatSearchICS/ThreatCatalogue/"/>
    </mc:Choice>
  </mc:AlternateContent>
  <xr:revisionPtr revIDLastSave="0" documentId="13_ncr:1_{21A3FCD1-5075-E542-9B7A-6A78AF42015C}" xr6:coauthVersionLast="47" xr6:coauthVersionMax="47" xr10:uidLastSave="{00000000-0000-0000-0000-000000000000}"/>
  <bookViews>
    <workbookView xWindow="18080" yWindow="1040" windowWidth="17780" windowHeight="20580" activeTab="2" xr2:uid="{00000000-000D-0000-FFFF-FFFF00000000}"/>
  </bookViews>
  <sheets>
    <sheet name="Accepted Paper" sheetId="1" r:id="rId1"/>
    <sheet name="ThreatsPerAssetType" sheetId="2" r:id="rId2"/>
    <sheet name="ThreatsPerProtocol" sheetId="3" r:id="rId3"/>
    <sheet name="Asset Types" sheetId="4" r:id="rId4"/>
    <sheet name="Protocols" sheetId="5" r:id="rId5"/>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Ndhz8C0sItZf48Gjmhs8ZWgtuAsJDHXp+UsGrJspuH8="/>
    </ext>
  </extLst>
</workbook>
</file>

<file path=xl/calcChain.xml><?xml version="1.0" encoding="utf-8"?>
<calcChain xmlns="http://schemas.openxmlformats.org/spreadsheetml/2006/main">
  <c r="M41" i="3" l="1"/>
  <c r="M42" i="3"/>
  <c r="M43" i="3"/>
  <c r="M44" i="3"/>
  <c r="M45" i="3"/>
  <c r="M46" i="3"/>
  <c r="M47" i="3"/>
  <c r="M48" i="3"/>
  <c r="I41" i="3"/>
  <c r="I42" i="3"/>
  <c r="I43" i="3"/>
  <c r="I44" i="3"/>
  <c r="I45" i="3"/>
  <c r="I46" i="3"/>
  <c r="I47" i="3"/>
  <c r="I48" i="3"/>
  <c r="M34" i="3"/>
  <c r="M35" i="3"/>
  <c r="I34" i="3"/>
  <c r="I35" i="3"/>
  <c r="N45" i="2"/>
  <c r="N46" i="2"/>
  <c r="N47" i="2"/>
  <c r="N48" i="2"/>
  <c r="N49" i="2"/>
  <c r="N50" i="2"/>
  <c r="J45" i="2"/>
  <c r="J46" i="2"/>
  <c r="J47" i="2"/>
  <c r="J48" i="2"/>
  <c r="J49" i="2"/>
  <c r="J50" i="2"/>
  <c r="A43" i="2"/>
  <c r="N43" i="2"/>
  <c r="J43" i="2"/>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6" i="3"/>
  <c r="M37" i="3"/>
  <c r="M38" i="3"/>
  <c r="M39" i="3"/>
  <c r="M40"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6" i="3"/>
  <c r="I37" i="3"/>
  <c r="I38" i="3"/>
  <c r="I39" i="3"/>
  <c r="I40" i="3"/>
  <c r="J37" i="2"/>
  <c r="J38" i="2"/>
  <c r="J39" i="2"/>
  <c r="J40" i="2"/>
  <c r="J41" i="2"/>
  <c r="J42" i="2"/>
  <c r="J44" i="2"/>
  <c r="N37" i="2"/>
  <c r="N38" i="2"/>
  <c r="N39" i="2"/>
  <c r="N40" i="2"/>
  <c r="N41" i="2"/>
  <c r="N42" i="2"/>
  <c r="N44" i="2"/>
  <c r="N16" i="2"/>
  <c r="N17" i="2"/>
  <c r="J16" i="2"/>
  <c r="J17" i="2"/>
  <c r="A50" i="2"/>
  <c r="A49" i="2"/>
  <c r="A17" i="2"/>
  <c r="A16" i="2"/>
  <c r="A18" i="2"/>
  <c r="A19" i="2"/>
  <c r="A20" i="2"/>
  <c r="A21" i="2"/>
  <c r="A22" i="2"/>
  <c r="A23" i="2"/>
  <c r="A24" i="2"/>
  <c r="A25" i="2"/>
  <c r="A26" i="2"/>
  <c r="A27" i="2"/>
  <c r="A28" i="2"/>
  <c r="A29" i="2"/>
  <c r="A30" i="2"/>
  <c r="A31" i="2"/>
  <c r="A32" i="2"/>
  <c r="A33" i="2"/>
  <c r="A34" i="2"/>
  <c r="A35" i="2"/>
  <c r="A36" i="2"/>
  <c r="A37" i="2"/>
  <c r="A38" i="2"/>
  <c r="A39" i="2"/>
  <c r="A40" i="2"/>
  <c r="A41" i="2"/>
  <c r="A42" i="2"/>
  <c r="A44" i="2"/>
  <c r="A45" i="2"/>
  <c r="A3" i="2"/>
  <c r="A4" i="2"/>
  <c r="A5" i="2"/>
  <c r="A6" i="2"/>
  <c r="A7" i="2"/>
  <c r="A8" i="2"/>
  <c r="A9" i="2"/>
  <c r="A10" i="2"/>
  <c r="A11" i="2"/>
  <c r="A12" i="2"/>
  <c r="A13" i="2"/>
  <c r="A14" i="2"/>
  <c r="A15" i="2"/>
  <c r="A46" i="2"/>
  <c r="A47" i="2"/>
  <c r="A48" i="2"/>
  <c r="N3" i="2"/>
  <c r="N4" i="2"/>
  <c r="N5" i="2"/>
  <c r="N6" i="2"/>
  <c r="N7" i="2"/>
  <c r="N8" i="2"/>
  <c r="N9" i="2"/>
  <c r="N10" i="2"/>
  <c r="N11" i="2"/>
  <c r="N12" i="2"/>
  <c r="N13" i="2"/>
  <c r="N14" i="2"/>
  <c r="N15" i="2"/>
  <c r="N18" i="2"/>
  <c r="N19" i="2"/>
  <c r="N21" i="2"/>
  <c r="N22" i="2"/>
  <c r="N23" i="2"/>
  <c r="N25" i="2"/>
  <c r="N26" i="2"/>
  <c r="N27" i="2"/>
  <c r="N28" i="2"/>
  <c r="N29" i="2"/>
  <c r="N30" i="2"/>
  <c r="N31" i="2"/>
  <c r="N32" i="2"/>
  <c r="N33" i="2"/>
  <c r="N34" i="2"/>
  <c r="N35" i="2"/>
  <c r="N36" i="2"/>
  <c r="J3" i="2"/>
  <c r="J4" i="2"/>
  <c r="J5" i="2"/>
  <c r="J6" i="2"/>
  <c r="J7" i="2"/>
  <c r="J8" i="2"/>
  <c r="J9" i="2"/>
  <c r="J10" i="2"/>
  <c r="J11" i="2"/>
  <c r="J12" i="2"/>
  <c r="J13" i="2"/>
  <c r="J14" i="2"/>
  <c r="J15" i="2"/>
  <c r="J18" i="2"/>
  <c r="J19" i="2"/>
  <c r="J21" i="2"/>
  <c r="J22" i="2"/>
  <c r="J23" i="2"/>
  <c r="J25" i="2"/>
  <c r="J26" i="2"/>
  <c r="J27" i="2"/>
  <c r="J28" i="2"/>
  <c r="J29" i="2"/>
  <c r="J30" i="2"/>
  <c r="J31" i="2"/>
  <c r="J32" i="2"/>
  <c r="J33" i="2"/>
  <c r="J34" i="2"/>
  <c r="J35" i="2"/>
  <c r="J36" i="2"/>
  <c r="M2" i="3"/>
  <c r="I2" i="3"/>
  <c r="J2" i="2"/>
  <c r="N2" i="2"/>
  <c r="A2" i="2"/>
</calcChain>
</file>

<file path=xl/sharedStrings.xml><?xml version="1.0" encoding="utf-8"?>
<sst xmlns="http://schemas.openxmlformats.org/spreadsheetml/2006/main" count="4619" uniqueCount="2796">
  <si>
    <t>Column1</t>
  </si>
  <si>
    <t>Download</t>
  </si>
  <si>
    <t>Accepted</t>
  </si>
  <si>
    <t>Rejected</t>
  </si>
  <si>
    <t>In reference</t>
  </si>
  <si>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</si>
  <si>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</si>
  <si>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</si>
  <si>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</si>
  <si>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</si>
  <si>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</si>
  <si>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</si>
  <si>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</si>
  <si>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</si>
  <si>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</si>
  <si>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</si>
  <si>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</si>
  <si>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</si>
  <si>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</si>
  <si>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</si>
  <si>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</si>
  <si>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</si>
  <si>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</si>
  <si>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</si>
  <si>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</si>
  <si>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</si>
  <si>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</si>
  <si>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</si>
  <si>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</si>
  <si>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</si>
  <si>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</si>
  <si>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</si>
  <si>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</si>
  <si>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</si>
  <si>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</si>
  <si>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</si>
  <si>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</si>
  <si>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</si>
  <si>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</si>
  <si>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asreview_label</t>
  </si>
  <si>
    <t>asreview_time</t>
  </si>
  <si>
    <t>asreview_note</t>
  </si>
  <si>
    <t>asreview_tag_inclusion_threatanalysis</t>
  </si>
  <si>
    <t>asreview_tag_inclusion_containsthreats</t>
  </si>
  <si>
    <t>asreview_tag_exclusion_not_relatedtoics</t>
  </si>
  <si>
    <t>asreview_tag_exclusion_notthreatmodelling</t>
  </si>
  <si>
    <t>asreview_tag_exclusion_notwritterinenglish</t>
  </si>
  <si>
    <t>asreview_tag_exclusion_nottechnical</t>
  </si>
  <si>
    <t>asreview_tag_inclusion_threatanalysismethodology</t>
  </si>
  <si>
    <t>asreview_tag_inclusion_containsthreats_non_threat_models</t>
  </si>
  <si>
    <t>CINESE</t>
  </si>
  <si>
    <t>Not Written in English</t>
  </si>
  <si>
    <t>Sun Y.; You J.; Song Z.; Huang W.; Chen X.; Sun L.</t>
  </si>
  <si>
    <t>Sun, Yue (57226230814); You, Jianzhou (57204522368); Song, Zhanwei (57214781689); Huang, Wenjun (58644063500); Chen, Xi (57202192077); Sun, Limin (59893056500)</t>
  </si>
  <si>
    <t>57226230814; 57204522368; 57214781689; 58644063500; 57202192077; 59893056500</t>
  </si>
  <si>
    <t>A Cyber Kill Chain Based Analysis of PLC Security; [基于杀伤链模型的 PLC 安全分析]</t>
  </si>
  <si>
    <t>Journal of Cyber Security</t>
  </si>
  <si>
    <t>10</t>
  </si>
  <si>
    <t>2</t>
  </si>
  <si>
    <t>10.19363/J.cnki.cn10-1380/tn.2025.03.10</t>
  </si>
  <si>
    <t>https://www.scopus.com/inward/record.uri?eid=2-s2.0-105004931480&amp;doi=10.19363%2fJ.cnki.cn10-1380%2ftn.2025.03.10&amp;partnerID=40&amp;md5=69c34175226b98258313441ba635776b</t>
  </si>
  <si>
    <t>Beijing Key Laboratory of IoT Information Security Technology, Institute of Information Engineering, Chinese Academy of Sciences, Beijing, 100093, China; School of Cyber Security, University of Chinese Academy of Sciences, Beijing, 100049, China; School of Software &amp; Microelectronics, PKU, Beijing, 102600, China</t>
  </si>
  <si>
    <t>Sun Y., Beijing Key Laboratory of IoT Information Security Technology, Institute of Information Engineering, Chinese Academy of Sciences, Beijing, 100093, China, School of Cyber Security, University of Chinese Academy of Sciences, Beijing, 100049, China; You J., Beijing Key Laboratory of IoT Information Security Technology, Institute of Information Engineering, Chinese Academy of Sciences, Beijing, 100093, China, School of Cyber Security, University of Chinese Academy of Sciences, Beijing, 100049, China; Song Z., Beijing Key Laboratory of IoT Information Security Technology, Institute of Information Engineering, Chinese Academy of Sciences, Beijing, 100093, China, School of Cyber Security, University of Chinese Academy of Sciences, Beijing, 100049, China; Huang W., Beijing Key Laboratory of IoT Information Security Technology, Institute of Information Engineering, Chinese Academy of Sciences, Beijing, 100093, China, School of Cyber Security, University of Chinese Academy of Sciences, Beijing, 100049, China; Chen X., School of Software &amp; Microelectronics, PKU, Beijing, 102600, China; Sun L., Beijing Key Laboratory of IoT Information Security Technology, Institute of Information Engineering, Chinese Academy of Sciences, Beijing, 100093, China, School of Cyber Security, University of Chinese Academy of Sciences, Beijing, 100049, China</t>
  </si>
  <si>
    <t>Programmable Logic Controllers (PLCs) are integral components of modern industrial control systems, where their security is crucial for maintaining the safe and continuous operation of industrial processes. However, the unique architecture and communication protocols of PLCs pose a significant challenge for their security analysis, as standard frameworks and procedures are lacking. The Cyber Kill Chain model is a well-established methodology for describing the tactics and techniques used by attackers to exploit vulnerabilities, and it has been widely adopted in the field of cybersecurity. This paper provides an overview of PLC security in recent years, utilizing the Cyber Kill Chain model to present the latest advances in this field. The objective of this paper is to provide a technical reference for cybersecurity practitioners and to facilitate researchers in their understanding of PLC security. Firstly, we introduce the basic architecture, operation principle, and communication protocols of PLCs, which are fundamental to analyzing the vulnerabilities and attacks on PLCs. We then use the Cyber Kill Chain model to classify the various stages of PLC attack techniques, which includes reconnaissance, weaponization, delivery, exploitation, installation, command and control, and execution. For each stage, we provide a detailed analysis of the techniques used by attackers. Our analysis helps to provide a comprehensive view of the various stages of an attack and can aid in developing proactive security measures. In addition to the detailed analysis of PLC attack techniques, we also discuss various techniques for securing PLCs in this article. These include measures such as protocol security protection, control program verification, execution process monitoring, and PLC forensics technology. By highlighting these methods, we hope to provide practical guidance for cybersecurity practitioners to better protect PLCs from threats. Moreover, we also highlight the current research trends on PLC security from different perspectives, such as embedded devices, industrial controllers, and industrial control network components, which can serve as a road-map for future research in this field, and promote the security and resilience of critical infrastructure. © 2025 Chinese Academy of Sciences. All rights reserved.</t>
  </si>
  <si>
    <t>cyber kill chain model; industrial control system security; PLC attack technology; PLC defense technology; PLC security</t>
  </si>
  <si>
    <t>Z. Song; Beijing Key Laboratory of IoT Information Security Technology, Institute of Information Engineering, Chinese Academy of Sciences, Beijing, 100093, China; email: songzhanwei@iie.ac.cn</t>
  </si>
  <si>
    <t>Chinese Academy of Sciences</t>
  </si>
  <si>
    <t>20961146</t>
  </si>
  <si>
    <t>Chinese</t>
  </si>
  <si>
    <t>J. Cyber Secur.</t>
  </si>
  <si>
    <t>Article</t>
  </si>
  <si>
    <t>Final</t>
  </si>
  <si>
    <t>Scopus</t>
  </si>
  <si>
    <t>2-s2.0-105004931480</t>
  </si>
  <si>
    <t>2025-07-22 09:07:38</t>
  </si>
  <si>
    <t>x</t>
  </si>
  <si>
    <t>Contains Threats; PLC</t>
  </si>
  <si>
    <t>ok</t>
  </si>
  <si>
    <t>Karacayılmaz G.; Artuner H.</t>
  </si>
  <si>
    <t>Karacayılmaz, Gökçe (57203142239); Artuner, Harun (6504413319)</t>
  </si>
  <si>
    <t>57203142239; 6504413319</t>
  </si>
  <si>
    <t>A novel approach detection for IIoT attacks via artificial intelligence</t>
  </si>
  <si>
    <t>Cluster Computing</t>
  </si>
  <si>
    <t>27</t>
  </si>
  <si>
    <t>8</t>
  </si>
  <si>
    <t>10.1007/s10586-024-04529-w</t>
  </si>
  <si>
    <t>https://www.scopus.com/inward/record.uri?eid=2-s2.0-85192215171&amp;doi=10.1007%2fs10586-024-04529-w&amp;partnerID=40&amp;md5=3414f370d759b44917f55d648ab667b7</t>
  </si>
  <si>
    <t>Forensic Sciences, Hacettepe University, Ankara, Turkey; Computer Science Dept, Faculty of Engineering, Hacettepe University, Ankara, Turkey</t>
  </si>
  <si>
    <t>Karacayılmaz G., Forensic Sciences, Hacettepe University, Ankara, Turkey; Artuner H., Computer Science Dept, Faculty of Engineering, Hacettepe University, Ankara, Turkey</t>
  </si>
  <si>
    <t>The Industrial Internet of Things (IIoT) is a paradigm that enables the integration of cyber-physical systems in critical infrastructures, such as power grids, water distribution networks, and transportation systems. IIoT devices, such as sensors, actuators, and controllers, can provide various benefits, such as performance optimization, efficiency improvement, and remote management. However, these devices also pose new security risks and challenges, as they can be targeted by malicious actors to disrupt the normal operation of the infrastructures they are connected to or to cause physical damage or harm. Therefore, it is essential to develop effective and intelligent solutions to detect and prevent attacks on IIoT devices and to ensure the security and resilience of critical infrastructures. In this paper, we present a comprehensive analysis of the types and impacts of attacks on IIoT devices based on a literature review and a data analysis of real-world incidents. We classify the attacks into four categories: denial-of-service, data manipulation, device hijacking, and physical tampering. We also discuss the potential consequences of these attacks on the safety, reliability, and availability of critical infrastructures. We then propose an expert system that can detect and prevent attacks on IIoT devices using artificial intelligence techniques, such as rule-based reasoning, anomaly detection, and reinforcement learning. We describe the architecture and implementation of our system, which consists of three main components: a data collector, a data analyzer, and a data actuator. We also present a table that summarizes the main features and capabilities of our system compared to existing solutions. We evaluate the performance and effectiveness of our system on a testbed consisting of programmable logic controllers (PLCs) and IIoT protocols, such as Modbus and MQTT. We simulate various attacks on IIoT devices and measure the accuracy, latency, and overhead of our system. Our results show that our system can successfully detect and mitigate different types of attacks on IIoT devices with high accuracy and low latency and overhead. We also demonstrate that our system can enhance the security and resilience of critical infrastructures by preventing or minimizing the impacts of attacks on IIoT devices. © The Author(s) 2024.</t>
  </si>
  <si>
    <t>Artificial Intelligence; Attack Detection; Expert System; ICS Security; IIoT Security</t>
  </si>
  <si>
    <t>Actuators; Anomaly detection; Cyber Physical System; Cybersecurity; Denial-of-service attack; Electric power distribution; Embedded systems; Intelligent control; Internet of things; Intrusion detection; Network security; Public works; SCADA systems; Attack detection; Cybe-physical systems; Cyber-physical systems; ICS security; Industrial internet of thing security; Performance optimizations; Power grids; Sensor/actuator; Transportation system; Water distribution network systems; Critical infrastructures</t>
  </si>
  <si>
    <t>G. Karacayılmaz; Forensic Sciences, Hacettepe University, Ankara, Turkey; email: gkaracayilmaz@hacettepe.edu.tr</t>
  </si>
  <si>
    <t>Springer</t>
  </si>
  <si>
    <t>13867857</t>
  </si>
  <si>
    <t>English</t>
  </si>
  <si>
    <t>Cluster Comput.</t>
  </si>
  <si>
    <t>All Open Access; Hybrid Gold Open Access</t>
  </si>
  <si>
    <t>2-s2.0-85192215171</t>
  </si>
  <si>
    <t>2025-10-01 13:07:20</t>
  </si>
  <si>
    <t>Contains Threats, SCADA, PLC</t>
  </si>
  <si>
    <t>Wali S.; Farrukh Y.A.; Khan I.; Hamilton J.A.</t>
  </si>
  <si>
    <t>Wali, Syed (57407106400); Farrukh, Yasir Ali (57233393500); Khan, Irfan (57188684032); Hamilton, John A. (55510477900)</t>
  </si>
  <si>
    <t>57407106400; 57233393500; 57188684032; 55510477900</t>
  </si>
  <si>
    <t>Covert penetrations: Analyzing and defending SCADA systems from stealth and Hijacking attacks</t>
  </si>
  <si>
    <t>Computers and Security</t>
  </si>
  <si>
    <t>156</t>
  </si>
  <si>
    <t>104449</t>
  </si>
  <si>
    <t>10.1016/j.cose.2025.104449</t>
  </si>
  <si>
    <t>https://www.scopus.com/inward/record.uri?eid=2-s2.0-105003734663&amp;doi=10.1016%2fj.cose.2025.104449&amp;partnerID=40&amp;md5=29d60569029c32297549f6b1544dfa61</t>
  </si>
  <si>
    <t>Clean and Resilient Energy System Lab (CARES), Department of Electrical &amp; Computer Engineering, Texas A&amp;M University, College Station, TX, United States; Texas A&amp;M Cybersecurity Center, Department of Computer Science &amp; Engineering, Texas A&amp;M University, College Station, TX, United States</t>
  </si>
  <si>
    <t>Wali S., Clean and Resilient Energy System Lab (CARES), Department of Electrical &amp; Computer Engineering, Texas A&amp;M University, College Station, TX, United States; Farrukh Y.A., Clean and Resilient Energy System Lab (CARES), Department of Electrical &amp; Computer Engineering, Texas A&amp;M University, College Station, TX, United States; Khan I., Clean and Resilient Energy System Lab (CARES), Department of Electrical &amp; Computer Engineering, Texas A&amp;M University, College Station, TX, United States; Hamilton J.A., Texas A&amp;M Cybersecurity Center, Department of Computer Science &amp; Engineering, Texas A&amp;M University, College Station, TX, United States</t>
  </si>
  <si>
    <t>SCADA (Supervisory Control and Data Acquisition) systems are critical for managing industrial processes, including energy production, manufacturing, and transportation. However, their reliance on protocols such as Modbus, which lack inherent security features, exposes them to sophisticated cyber threats. This paper explores vulnerabilities in the Modbus protocol to design advanced SCADA-specific attack scenarios—SCADA Hijacking and SCADA Blackout. These covert attacks exploit protocol weaknesses to manipulate process parameters or halt operations while evading detection by intrusion detection systems (IDS) and human operators, representing a significant escalation in the sophistication of cyber threats. To counter these threats, we propose a novel machine learning-based defense mechanism that incorporates heterogeneous graph embeddings, combining multimodal network data such as flow-level and packet-level features. The proposed attacks and defense mechanism were rigorously evaluated using precision, recall, F1 score, accuracy and false positive rate as key metrics, demonstrating the stealthiness of the attacks and the robustness of the defense. By exposing critical vulnerabilities and presenting an advanced intrusion detection framework, this research establishes a foundation for strengthening SCADA systems against evolving cyber threats, ensuring the security and reliability of industrial control systems. © 2025 Elsevier Ltd</t>
  </si>
  <si>
    <t>Industrial control systems; Machine learning; Modbus TCP; Network intrusion detection; Stealth attacks</t>
  </si>
  <si>
    <t>Access control; Computer viruses; Graph embeddings; Intrusion detection; Network embeddings; Network security; SCADA systems; Transmission control protocol; Control and data acquisition systems; Cyber threats; Defence mechanisms; Industrial control systems; Industrial processs; Machine-learning; Modbus TCP; Network intrusion detection; Stealth attacks; Supervisory control and data acquisition; Network intrusion</t>
  </si>
  <si>
    <t>S. Wali; Clean and Resilient Energy System Lab (CARES), Department of Electrical &amp; Computer Engineering, Texas A&amp;M University, College Station, United States; email: syedwali@tamu.edu</t>
  </si>
  <si>
    <t>Elsevier Ltd</t>
  </si>
  <si>
    <t>01674048</t>
  </si>
  <si>
    <t>CPSED</t>
  </si>
  <si>
    <t>Comput Secur</t>
  </si>
  <si>
    <t>2-s2.0-105003734663</t>
  </si>
  <si>
    <t>2025-07-22 10:30:58</t>
  </si>
  <si>
    <t>No Threat Modelling</t>
  </si>
  <si>
    <t>Benka D.; Horvath D.; Spendla L.; Gaspar G.; Stremy M.</t>
  </si>
  <si>
    <t>Benka, Denis (57222185020); Horvath, Dusan (57220545087); Spendla, Lukas (56004631300); Gaspar, Gabriel (36447581000); Stremy, Maximilian (55512587000)</t>
  </si>
  <si>
    <t>57222185020; 57220545087; 56004631300; 36447581000; 55512587000</t>
  </si>
  <si>
    <t>Machine Learning-Based Detection of Anomalies, Intrusions, and Threats in Industrial Control Systems</t>
  </si>
  <si>
    <t>IEEE Access</t>
  </si>
  <si>
    <t>13</t>
  </si>
  <si>
    <t>10.1109/ACCESS.2025.3530902</t>
  </si>
  <si>
    <t>https://www.scopus.com/inward/record.uri?eid=2-s2.0-85216020843&amp;doi=10.1109%2fACCESS.2025.3530902&amp;partnerID=40&amp;md5=d812e393dfc4b226a80a11b24eda286b</t>
  </si>
  <si>
    <t>Slovak University of Technology in Bratislava, Advanced Technologies Research Institute, Faculty of Materials Science and Technology in Trnava, Trnava, 917 24, Slovakia; Slovak University of Technology in Bratislava, Institute of Applied Informatics, Automation and Mechatronics, Faculty of Materials Science and Technology, Trnava, 917 24, Slovakia; University of Žilina, Research Centre, Žilina, 010 26, Slovakia</t>
  </si>
  <si>
    <t>Benka D., Slovak University of Technology in Bratislava, Institute of Applied Informatics, Automation and Mechatronics, Faculty of Materials Science and Technology, Trnava, 917 24, Slovakia; Horvath D., Slovak University of Technology in Bratislava, Advanced Technologies Research Institute, Faculty of Materials Science and Technology in Trnava, Trnava, 917 24, Slovakia; Spendla L., Slovak University of Technology in Bratislava, Institute of Applied Informatics, Automation and Mechatronics, Faculty of Materials Science and Technology, Trnava, 917 24, Slovakia; Gaspar G., Slovak University of Technology in Bratislava, Institute of Applied Informatics, Automation and Mechatronics, Faculty of Materials Science and Technology, Trnava, 917 24, Slovakia, University of Žilina, Research Centre, Žilina, 010 26, Slovakia; Stremy M., Slovak University of Technology in Bratislava, Advanced Technologies Research Institute, Faculty of Materials Science and Technology in Trnava, Trnava, 917 24, Slovakia</t>
  </si>
  <si>
    <t>Industrial Control Systems (ICS) are critical to the efficient operation of essential sectors such as manufacturing, energy, and water management. However, their increasing integration with IT systems exposes them to sophisticated cyberattacks, particularly lateral attacks targeting Programmable Logic Controllers (PLCs). Advanced preventive measures are necessary because, despite their significance, many ICS continue to rely on outdated technologies with few security features. This paper proposes a machine learning (ML)-based approach to anomaly detection in ICS communication networks, focusing on techniques such as 1D Convolutional Neural Networks (CNNs), Long Short-Term Memory (LSTM) networks, Support Vector Machines (SVMs), and Isolation Forest (iForest) algorithms. We generated a dataset by capturing both normal and manipulated ICS communication patterns, including TCP/IP traffic. Simulated lateral attacks provided realistic data for training and testing the ML models. The results demonstrate that the 1D CNN model achieved the highest accuracy (0.92) and F1 score (0.91) with minimal processing time, making it ideal for real-time intrusion detection. This research highlights the potential of ML techniques to fortify ICS cybersecurity and lays the groundwork for future advancements in critical infrastructure resilience.  © 2013 IEEE.</t>
  </si>
  <si>
    <t>Anomaly detection; intrusion detection systems; machine learning; programmable logic controllers; threat detection</t>
  </si>
  <si>
    <t>Convolutional neural networks; Financial markets; Intrusion detection; Network intrusion; Network security; Programmed control systems; Support vector machines; Anomaly detection; Anomaly intrusion; Convolutional neural network; Industrial control systems; Intrusion Detection Systems; Logic controller; Machine-learning; Programmable logic; System communications; Threat detection; Long short-term memory</t>
  </si>
  <si>
    <t>D. Benka; Slovak University of Technology in Bratislava, Institute of Applied Informatics, Automation and Mechatronics, Faculty of Materials Science and Technology, Trnava, 917 24, Slovakia; email: denis.benka@stuba.sk</t>
  </si>
  <si>
    <t>Institute of Electrical and Electronics Engineers Inc.</t>
  </si>
  <si>
    <t>21693536</t>
  </si>
  <si>
    <t>All Open Access; Gold Open Access</t>
  </si>
  <si>
    <t>2-s2.0-85216020843</t>
  </si>
  <si>
    <t>2025-10-08 12:01:20</t>
  </si>
  <si>
    <t>ThreatAnalysisMethodology: Attack-tree</t>
  </si>
  <si>
    <t>Alavi S.A.; Pourvali Moghadam H.; Jahangir A.H.</t>
  </si>
  <si>
    <t>Alavi, Seyed Ali (59464798300); Pourvali Moghadam, Hamed (59465920300); Jahangir, Amir Hossein (35571496900)</t>
  </si>
  <si>
    <t>59464798300; 59465920300; 35571496900</t>
  </si>
  <si>
    <t>Beyond botnets: Autonomous Firmware Zombie Attack in industrial control systems</t>
  </si>
  <si>
    <t>International Journal of Critical Infrastructure Protection</t>
  </si>
  <si>
    <t>48</t>
  </si>
  <si>
    <t>100729</t>
  </si>
  <si>
    <t>10.1016/j.ijcip.2024.100729</t>
  </si>
  <si>
    <t>https://www.scopus.com/inward/record.uri?eid=2-s2.0-85211482972&amp;doi=10.1016%2fj.ijcip.2024.100729&amp;partnerID=40&amp;md5=f0bb352e89ec10d0c0ec72f587b68f48</t>
  </si>
  <si>
    <t>Department of Computer Engineering, Sharif University of Technology, Tehran, Iran</t>
  </si>
  <si>
    <t>Alavi S.A., Department of Computer Engineering, Sharif University of Technology, Tehran, Iran; Pourvali Moghadam H., Department of Computer Engineering, Sharif University of Technology, Tehran, Iran; Jahangir A.H., Department of Computer Engineering, Sharif University of Technology, Tehran, Iran</t>
  </si>
  <si>
    <t>This paper introduces a novel cyberattack vector called the ”Autonomous Firmware Zombie Attack.” Unlike traditional zombie attacks that rely on botnets and direct network control, this method enables attackers to covertly modify the firmware of substation Intelligent Electronic Devices (IEDs) and other firmware-based appliances, including critical industrial equipment, without requiring an active network connection, leaving minimal trace and making an offensive attack with only one infected device instead of a set of multiple devices in botnets. Unlike conventional cyber threats, this method allows attackers to manipulate devices to cause substantial damage while leaving minimal trace, thus evading traditional detection techniques. This study demonstrates the potential of the Autonomous Firmware Zombie Attack (AFZA), which causes substantial damage while evading conventional detection techniques. We first run such an attack on a series of IEDs as proof of concept for this issue. Then, we compare this approach to traditional remote control attacks, highlighting its unique advantages and implications for industrial control system security. This research underscores the critical need for a robust cybersecurity framework tailored to industrial control systems and advances our understanding of the complex risk landscape threatening critical infrastructures. © 2024 Elsevier B.V.</t>
  </si>
  <si>
    <t>Cyberattack; Cybersecurity; Industrial control systems; Industrial equipment; Industrial networks; Power substation; Zombie</t>
  </si>
  <si>
    <t>Botnets; Cyber security; Cyber-attacks; Direct network; Industrial control systems; Industrial equipment; Industrial networks; Intelligent electronics devices; Power substations; Zombie</t>
  </si>
  <si>
    <t>A.H. Jahangir; Department of Computer Engineering, Sharif University of Technology, Tehran, Iran; email: jahangir@sharif.ir</t>
  </si>
  <si>
    <t>Elsevier B.V.</t>
  </si>
  <si>
    <t>18745482</t>
  </si>
  <si>
    <t>Int. J. Crit. Infrastruct. Prot.</t>
  </si>
  <si>
    <t>2-s2.0-85211482972</t>
  </si>
  <si>
    <t>2025-09-29 10:02:53</t>
  </si>
  <si>
    <t>Contains Threats,CVE, SCADA, PLC, Workstation</t>
  </si>
  <si>
    <t>Cheimonidis P.; Rantos K.</t>
  </si>
  <si>
    <t>Cheimonidis, Pavlos (58664179600); Rantos, Konstantinos (6507911474)</t>
  </si>
  <si>
    <t>58664179600; 6507911474</t>
  </si>
  <si>
    <t>A Proactive and Time-Sensitive Cyber Risk Assessment Model Integrating Markov Chains and Bayesian Networks</t>
  </si>
  <si>
    <t>10.1109/ACCESS.2025.3575070</t>
  </si>
  <si>
    <t>https://www.scopus.com/inward/record.uri?eid=2-s2.0-105007047803&amp;doi=10.1109%2fACCESS.2025.3575070&amp;partnerID=40&amp;md5=bd75d706fa129641efe62b60b870fa68</t>
  </si>
  <si>
    <t>Democritus University of Thrace, Department of Informatics, Kavala, 654 04, Greece</t>
  </si>
  <si>
    <t>Cheimonidis P., Democritus University of Thrace, Department of Informatics, Kavala, 654 04, Greece; Rantos K., Democritus University of Thrace, Department of Informatics, Kavala, 654 04, Greece</t>
  </si>
  <si>
    <t>As cyberattacks grow in complexity, they pose increasing threats to organizations reliant on networked infrastructures. Conventional risk assessment methodologies often fail to adapt to the evolving nature of these threats. This paper introduces a novel cyber risk assessment model that adopts a proactive, dynamic, and time-aware approach to evaluating security risks. The proposed model leverages the Exploit Prediction Scoring System (EPSS) to estimate the short-term likelihood of exploitation over a 30-day period. To improve accuracy, Bayesian networks are employed to capture both system vulnerabilities and asset interdependencies within the network. This information is integrated into an absorbing Markov chain along with the identified attack paths, which are explored using Depth-First Search (DFS). The model generates exploitation probability distributions over the predefined time window, which, when combined with asset impact, facilitates dynamic, proactive, and time-sensitive risk assessments. Additionally, it provides valuable insights into attack progression by estimating the time required for an adversary to compromise critical assets. To demonstrate the practical applicability of the model, a case study is presented, showcasing its effectiveness in assessing cyber risks within a SCADA environment. © 2013 IEEE.</t>
  </si>
  <si>
    <t>Bayesian-networks; cyber risk assessment; cybersecurity; dynamic risk assessment; industrial-control-systems; Markov-chain; proactive risk assessment</t>
  </si>
  <si>
    <t>Cyber attacks; Distribution functions; Gaussian distribution; Markov processes; Maximum likelihood; Networked control systems; Normal distribution; Risk analysis; SCADA systems; Size distribution; Velocity distribution; Bayesia n networks; Chain networks; Cybe risk assessment; Cyber security; Dynamic risk assessments; Industrial control systems; Proactive risk assessment; Risk assessment - modelling; Risks assessments; Risk assessment</t>
  </si>
  <si>
    <t>P. Cheimonidis; Democritus University of Thrace, Department of Informatics, Kavala, 654 04, Greece; email: pcheimon@cs.duth.gr</t>
  </si>
  <si>
    <t>2-s2.0-105007047803</t>
  </si>
  <si>
    <t>2025-07-17 12:18:36</t>
  </si>
  <si>
    <t>No  threats Modelling</t>
  </si>
  <si>
    <t>Pandey R.K.; Das T.K.</t>
  </si>
  <si>
    <t>Pandey, Rajneesh Kumar (59276459500); Das, Tanmoy Kanti (7201461588)</t>
  </si>
  <si>
    <t>59276459500; 7201461588</t>
  </si>
  <si>
    <t>Anomaly detection in cyber-physical systems using actuator state transition model</t>
  </si>
  <si>
    <t>International Journal of Information Technology (Singapore)</t>
  </si>
  <si>
    <t>17</t>
  </si>
  <si>
    <t>3</t>
  </si>
  <si>
    <t>10.1007/s41870-024-02128-x</t>
  </si>
  <si>
    <t>https://www.scopus.com/inward/record.uri?eid=2-s2.0-85201793818&amp;doi=10.1007%2fs41870-024-02128-x&amp;partnerID=40&amp;md5=3532a0f20dc66684f9faa5aba109e47e</t>
  </si>
  <si>
    <t>Department of Computer Applications, National Institute of Technology Raipur, Chhattisgarh, Raipur, India</t>
  </si>
  <si>
    <t>Pandey R.K., Department of Computer Applications, National Institute of Technology Raipur, Chhattisgarh, Raipur, India; Das T.K., Department of Computer Applications, National Institute of Technology Raipur, Chhattisgarh, Raipur, India</t>
  </si>
  <si>
    <t>Cyber-physical systems (CPS) are vulnerable to cyber attacks which disrupt the operations of the associated physical process. Sensors are deployed in CPS to observe its functioning and control systems like actuators, Remote Terminal Units (RTU), programmable logic controllers (PLC), etc., are used to change the state of the CPS. Any abnormal state transitions due to cyber attack or natural fault may not be detected by the traditional Intrusion Detection System (IDS). Behavior specification-based IDS, which employs laws of physics to detect the intrusion, may be helpful in this context. However, specifying acceptable behaviors based on the laws of physics for all the installed control systems for a complex CPS like a smart grid, water treatment plant, etc., is a challenging task. Here, we employ a data-driven strategy to model the behavior of each control system installed in a CPS. Later, we use the models to predict the acceptable states of all the control systems. We utilize an AI-based classifier to model control systems such as actuators. Subsequently, we juxtapose the actual states of the actuators with their predicted states, examining how this combination correlates with the overall state of the CPS to identify anomalies. Typically, there should be a strong correlation between predicted and actual states, making the Hamming distance between them a crucial factor in our experimentation. To establish the relationship between controller states and CPS states, we employ a novel deep neural network-based approach for classification. Experimental validation of our approach leverages data from a water treatment testbed, where we achieve superior performance compared to the most state-of-the-art methods, achieving a F1-score of 0.96. © Bharati Vidyapeeth's Institute of Computer Applications and Management 2024.</t>
  </si>
  <si>
    <t>actuator modeling; anomaly detection; cyber physical system; Industrial control system; Intrusion Detection</t>
  </si>
  <si>
    <t>R.K. Pandey; Department of Computer Applications, National Institute of Technology Raipur, Raipur, Chhattisgarh, India; email: rkpandey.phd2019.mca@nitrr.ac.in</t>
  </si>
  <si>
    <t>Springer Science and Business Media B.V.</t>
  </si>
  <si>
    <t>25112104</t>
  </si>
  <si>
    <t>Int. J. Inf. Technol.</t>
  </si>
  <si>
    <t>2-s2.0-85201793818</t>
  </si>
  <si>
    <t>2025-07-24 13:10:13</t>
  </si>
  <si>
    <t>HTML</t>
  </si>
  <si>
    <t>ContainsThreats: CVE &amp; Threat listing</t>
  </si>
  <si>
    <t>Al Ghazo A.T.; Kumar R.</t>
  </si>
  <si>
    <t>Al Ghazo, Alaa T. (57203532383); Kumar, Ratnesh (57202998218)</t>
  </si>
  <si>
    <t>57203532383; 57202998218</t>
  </si>
  <si>
    <t>ANDVI: Automated Network Device and Vulnerability Identification in SCADA/ICS by Passive Monitoring</t>
  </si>
  <si>
    <t>IEEE Transactions on Systems, Man, and Cybernetics: Systems</t>
  </si>
  <si>
    <t>54</t>
  </si>
  <si>
    <t>4</t>
  </si>
  <si>
    <t>10.1109/TSMC.2023.3345254</t>
  </si>
  <si>
    <t>https://www.scopus.com/inward/record.uri?eid=2-s2.0-85182934426&amp;doi=10.1109%2fTSMC.2023.3345254&amp;partnerID=40&amp;md5=326b71a20c180a2a633c6ab11e339372</t>
  </si>
  <si>
    <t>The Hashemite University, Faculty of Engineering, Department of Mechatronics Engineering, Zarqa, 13133, Jordan; Iowa State University, Department of Electrical and Computer Engineering, Ames, 50014, IA, United States</t>
  </si>
  <si>
    <t>Al Ghazo A.T., The Hashemite University, Faculty of Engineering, Department of Mechatronics Engineering, Zarqa, 13133, Jordan; Kumar R., Iowa State University, Department of Electrical and Computer Engineering, Ames, 50014, IA, United States</t>
  </si>
  <si>
    <t>Supervisory control and data acquisition (SCADA) and industrial control systems (ICSs) are designed to operate for extended periods of time and can withstand extreme conditions. However, operators, engineers, and offices change over time, which can lead to outdated documentation and references. This can make it difficult to identify system components and their vulnerabilities, which can pose a security risk. In this article, we present an automated passive method for identifying system components based on network traffic structure and network message characteristics. The proposed approach considers both TCP/IP and Modbus, the two primary communication protocols in SCADA, to identify devices. The algorithm was implemented in Python and evaluated using water treatment SCADA data collected from the iTrust facility. Once the system devices have been identified, the algorithm queries the National Vulnerability Database (NVD) and the Common Vulnerabilities and Exposures (CVE) databases to identify each device's known vulnerabilities. Using our research on automated attack graph generation and visualization (A2G2V) and strongly connected component induced min label cut (SCCiMLC), we can map device vulnerabilities to system-level attack graphs and identify the bare minimum of device vulnerabilities to mitigate in order to secure the entire system. The proposed technique has been demonstrated to be beneficial in identifying system components in SCADA and ICS systems to increase their security.  © 2013 IEEE.</t>
  </si>
  <si>
    <t>Cyber-physical systems (CPSs); device recognition; industrial control systems (ICSs); Internet of Things; Modbus; security; supervisory control and data acquisition (SCADA) TCP/IP</t>
  </si>
  <si>
    <t>Automation; Internet of things; Network security; Transmission control protocol; Water treatment; Cybe-physical systems; Cyber-physical systems; Cybe–physical system; Device recognition; Industrial control system; Industrial control systems; Modbus; Objects recognition; Security; Supervisory control and data acquisition; Supervisory control and data acquisition  TCP/IP; TCPIP; SCADA systems</t>
  </si>
  <si>
    <t>A.T. Al Ghazo; The Hashemite University, Faculty of Engineering, Department of Mechatronics Engineering, Zarqa, 13133, Jordan; email: alghazo@hu.edu.jo</t>
  </si>
  <si>
    <t>21682216</t>
  </si>
  <si>
    <t>IEEE Trans. Syst. Man Cybern. Syst.</t>
  </si>
  <si>
    <t>2-s2.0-85182934426</t>
  </si>
  <si>
    <t>2025-07-21 20:51:58</t>
  </si>
  <si>
    <t>ThreatAnalysisMethodology, STAMP/STPA</t>
  </si>
  <si>
    <t>d'Ambrosio N.; Capodagli G.; Perrone G.; Romano S.P.</t>
  </si>
  <si>
    <t>d'Ambrosio, Nicola (58712825900); Capodagli, Giulio (58932566000); Perrone, Gaetano (57194940391); Romano, Simon Pietro (7101644319)</t>
  </si>
  <si>
    <t>58712825900; 58932566000; 57194940391; 7101644319</t>
  </si>
  <si>
    <t>SCASS: Breaking into SCADA Systems Security</t>
  </si>
  <si>
    <t>151</t>
  </si>
  <si>
    <t>104315</t>
  </si>
  <si>
    <t>10.1016/j.cose.2025.104315</t>
  </si>
  <si>
    <t>https://www.scopus.com/inward/record.uri?eid=2-s2.0-85215405850&amp;doi=10.1016%2fj.cose.2025.104315&amp;partnerID=40&amp;md5=d18db1769282ab68e3bc86280de9253c</t>
  </si>
  <si>
    <t>University of Napoli Federico II, Department of Electrical Engineering and Information Technology, Via Claudio 21, Napoli, 80125, Italy</t>
  </si>
  <si>
    <t>d'Ambrosio N., University of Napoli Federico II, Department of Electrical Engineering and Information Technology, Via Claudio 21, Napoli, 80125, Italy; Capodagli G., University of Napoli Federico II, Department of Electrical Engineering and Information Technology, Via Claudio 21, Napoli, 80125, Italy; Perrone G., University of Napoli Federico II, Department of Electrical Engineering and Information Technology, Via Claudio 21, Napoli, 80125, Italy; Romano S.P., University of Napoli Federico II, Department of Electrical Engineering and Information Technology, Via Claudio 21, Napoli, 80125, Italy</t>
  </si>
  <si>
    <t>Industrial Controls Systems (ICS) represent a relevant target for attackers. In order to prevent such critical security threats, ICS security assessment activities should be conducted. Conventional vulnerability assessment and penetration testing within ICSs are not practicable due to safety risks and cost constraints. To overcome these challenges, security researchers have developed cybersecurity testbeds. However, these testbeds commonly rely on closed components, cannot be extended, and are very expensive. This research investigates how a modular, open-source framework can enhance the development of robust cybersecurity testbeds and facilitate the implementation of digital twins for securing Industrial Control Systems. We present SCASS, a fully customizable testbed designed to replicate complex SCADA and ICS environments with high fidelity. SCASS addresses the need for accessible, scalable platforms by supporting both physical and virtual components while enabling the evaluation of heterogeneous attack scenarios and security methodologies. By combining advanced attack scenarios with an objective comparative analysis against existing testbeds, SCASS demonstrates its ability to fill critical gaps in the ICS security landscape, fostering collaboration and advancing security assessment methodologies. © 2025 The Authors</t>
  </si>
  <si>
    <t>ICS cyber-ranges; ICS cybersecurity; ICS testbeds; SCADA systems</t>
  </si>
  <si>
    <t>Digital control systems; Testbeds; Virtual addresses; Attacks scenarios; Control system security; Cyber security; Industrial control system cybe-range; Industrial control system cybersecurity; Industrial control system testbed; Industrial control systems; Security assessment; SCADA systems</t>
  </si>
  <si>
    <t>G. Perrone; University of Napoli Federico II, Department of Electrical Engineering and Information Technology, Napoli, Via Claudio 21, 80125, Italy; email: gaetano.perrone@unina.it</t>
  </si>
  <si>
    <t>2-s2.0-85215405850</t>
  </si>
  <si>
    <t>2025-08-01 10:56:31</t>
  </si>
  <si>
    <t>ContainsThreats: Modbus, PLC</t>
  </si>
  <si>
    <t>Chen N.-Y.; He C.-Y.; Li J.-S.; Yang C.-S.; Liu I.-H.</t>
  </si>
  <si>
    <t>Chen, Nai-Yu (58984088700); He, Cheng-Ying (59665174500); Li, Jung-Shian (7410065268); Yang, Chu-Sing (59544841800); Liu, I.-Hsien (55949898900)</t>
  </si>
  <si>
    <t>58984088700; 59665174500; 7410065268; 59544841800; 55949898900</t>
  </si>
  <si>
    <t>Obstructing PLC Operations through Modbus Command Manipulation</t>
  </si>
  <si>
    <t>Proceedings of International Conference on Artificial Life and Robotics</t>
  </si>
  <si>
    <t>https://www.scopus.com/inward/record.uri?eid=2-s2.0-85219562610&amp;partnerID=40&amp;md5=6d4ebaac4e3194a6d4b2628aded8fc3f</t>
  </si>
  <si>
    <t>National Cheng Kung University, No.1, University Rd., East Dist., Tainan City, 701401, Taiwan; Department of Electrical Engineering, Institute of Computer and Communication Engineering, National Cheng Kung University, No.1, University Rd., East Dist, Tainan City, 701401, Taiwan; Department of Electrical Engineering, National Cheng Kung University, No.1, University Rd., East Dist, Tainan City, 701401, Taiwan</t>
  </si>
  <si>
    <t>Chen N.-Y., National Cheng Kung University, No.1, University Rd., East Dist., Tainan City, 701401, Taiwan; He C.-Y., National Cheng Kung University, No.1, University Rd., East Dist., Tainan City, 701401, Taiwan; Li J.-S., Department of Electrical Engineering, Institute of Computer and Communication Engineering, National Cheng Kung University, No.1, University Rd., East Dist, Tainan City, 701401, Taiwan; Yang C.-S., Department of Electrical Engineering, National Cheng Kung University, No.1, University Rd., East Dist, Tainan City, 701401, Taiwan; Liu I.-H., Department of Electrical Engineering, National Cheng Kung University, No.1, University Rd., East Dist, Tainan City, 701401, Taiwan</t>
  </si>
  <si>
    <t>Security vulnerabilities in Programmable Logic Controllers (PLCs) within Industrial Control Systems (ICS) using the Modbus/TCP protocol pose significant risks, particularly through stop-and-start command injection attacks that impact PLC operations and cause severe industrial consequences. Supported by Taiwan's National Science and Technology Council (NSTC) and the Water Resources Agency, this research establishes a cybersecurity testbed for water resource systems to investigate these threats. Unauthorized or forged commands are shown to manipulate PLC configurations and ladder logic diagrams, revealing critical weaknesses. Flowchart analyses and Modbus packet examinations highlight the risks and offer actionable insights into effective defense mechanisms for enhancing ICS security. © The 2025 International Conference on Artificial Life and Robotics (ICAROB2025).</t>
  </si>
  <si>
    <t>Cybersecurity; Industrial Control Systems; Modbus/TCP; Programmable Logic Controller</t>
  </si>
  <si>
    <t>I.-H. Liu; Department of Electrical Engineering, National Cheng Kung University, Tainan City, No.1, University Rd., East Dist, 701401, Taiwan; email: ihliu@cans.ee.ncku.edu.tw</t>
  </si>
  <si>
    <t>Jia Y.; Ito T.; Lee J.-J.</t>
  </si>
  <si>
    <t>ALife Robotics Corporation Ltd</t>
  </si>
  <si>
    <t>24359157</t>
  </si>
  <si>
    <t>978-499133372-9</t>
  </si>
  <si>
    <t>Proc. International. Conference. Artificial. Life. Robot.</t>
  </si>
  <si>
    <t>Conference paper</t>
  </si>
  <si>
    <t>2-s2.0-85219562610</t>
  </si>
  <si>
    <t>2025-07-22 11:41:55</t>
  </si>
  <si>
    <t>Threat Model: Assets</t>
  </si>
  <si>
    <t>Paul J.; Ponce L.; Zhang M.; Garcia L.</t>
  </si>
  <si>
    <t>Paul, Jainta (59500073400); Ponce, Lawrence (59500881000); Zhang, Mu (56130401900); Garcia, Luis (57199817928)</t>
  </si>
  <si>
    <t>59500073400; 59500881000; 56130401900; 57199817928</t>
  </si>
  <si>
    <t>Towards Cross-Physical-Domain Threat Inference for Industrial Control System Defense Adaptation</t>
  </si>
  <si>
    <t>RICSS 2024 - Proceedings of the 2024 Workshop on Re-design Industrial Control Systems with Security, Co-Located with: CCS 2024</t>
  </si>
  <si>
    <t>10.1145/3689930.3695210</t>
  </si>
  <si>
    <t>https://www.scopus.com/inward/record.uri?eid=2-s2.0-85214112183&amp;doi=10.1145%2f3689930.3695210&amp;partnerID=40&amp;md5=9c42630e1297fd84012e0ff916f24ef0</t>
  </si>
  <si>
    <t>University of Utah, Salt Lake City, UT, United States</t>
  </si>
  <si>
    <t>Paul J., University of Utah, Salt Lake City, UT, United States; Ponce L., University of Utah, Salt Lake City, UT, United States; Zhang M., University of Utah, Salt Lake City, UT, United States; Garcia L., University of Utah, Salt Lake City, UT, United States</t>
  </si>
  <si>
    <t>Safety-critical Industrial Control Systems (ICS) are increasingly targeted by Advanced Persistent Threats (APTs), exemplified by attacks like Stuxnet, the Ukraine power grid breaches, and recent U.S. water treatment facility intrusions. These sophisticated attacks often target common sensors and actuator abstractions across different ICS environments. While frameworks like MITRE ATT&amp;CK for ICS categorize attacker Tactics, Techniques, and Procedures (TTPs), they fall short in assessing the physical impact on operational technology (OT). To bridge this gap, we introduce OTThreat, a novel ontology that extends the Semantic Sensor Network (SSN) framework by incorporating cyber attack abstractions and the safety properties they target. Our approach enables the mapping of similar physical processes across different ICS domains, facilitating the adaptation of existing mitigations to new threats. We implement and validate a proof-of-concept threat inference framework on three ICS use cases representing different physical domains, including water treatment ICS and oil treatment ICS, that share common sensor and actuator abstractions and demonstrate how both threat assessment and potential mitigations for discovered threats can be adapted across physical domains. © 2024 Copyright held by the owner/author(s).</t>
  </si>
  <si>
    <t>industrial control systems; knowledge graphs</t>
  </si>
  <si>
    <t>Computer viruses; Energy security; Inference engines; Invariance; Liquefied petroleum gas; Ontology; Petroleum tar; Actuator abstraction; Industrial control systems; Knowledge graphs; Physical domain; Power grids; Sensor abstraction; Sensors and actuators; Stuxnet; Ukraine; Water treatment facilities; Industrial water treatment</t>
  </si>
  <si>
    <t>Association for Computing Machinery, Inc</t>
  </si>
  <si>
    <t>979-840071226-5</t>
  </si>
  <si>
    <t>RICSS - Proc. Workshop Re-des. Ind. Control Syst. Sec., Co-Located: CCS</t>
  </si>
  <si>
    <t>2-s2.0-85214112183</t>
  </si>
  <si>
    <t>2025-09-29 13:44:47</t>
  </si>
  <si>
    <t>Threat  Model, PLC, Memory Attack</t>
  </si>
  <si>
    <t>Ayub A.; Jo W.; Ahmed I.</t>
  </si>
  <si>
    <t>Ayub, Adeen (57226826851); Jo, Wooyeon (57188574163); Ahmed, Irfan (57202619773)</t>
  </si>
  <si>
    <t>57226826851; 57188574163; 57202619773</t>
  </si>
  <si>
    <t>Charlie, Charlie, Charlie on Industrial Control Systems: PLC Control Logic Attacks by Design, Not by Chance</t>
  </si>
  <si>
    <t>Proceedings of the 2024 IEEE International Symposium on Hardware Oriented Security and Trust, HOST 2024</t>
  </si>
  <si>
    <t>10.1109/HOST55342.2024.10545392</t>
  </si>
  <si>
    <t>https://www.scopus.com/inward/record.uri?eid=2-s2.0-85196096012&amp;doi=10.1109%2fHOST55342.2024.10545392&amp;partnerID=40&amp;md5=a7290af6d37413bc8f65509a8b526587</t>
  </si>
  <si>
    <t>Virginia Commonwealth University, Department of Computer Science, Richmond, VA, United States</t>
  </si>
  <si>
    <t>Ayub A., Virginia Commonwealth University, Department of Computer Science, Richmond, VA, United States; Jo W., Virginia Commonwealth University, Department of Computer Science, Richmond, VA, United States; Ahmed I., Virginia Commonwealth University, Department of Computer Science, Richmond, VA, United States</t>
  </si>
  <si>
    <t>Programmable logic controllers (PLCs) in industrial control systems (ICS) run a control logic program to monitor and control critical infrastructures in real-time, such as nuclear plants and power grids. Attackers target PLC control logic remotely to sabotage or disrupt physical processes. Network intrusion detection systems (IDS) are increasingly used to detect malicious control logic. This paper demonstrates that standard IDS features in a protocol message header and payload are not resilient for detecting (control logic) binary programs, such as entropy, n-gram, and decompilation. It identifies and utilizes a PLC design feature, redundant address pins (RAP), unexplored in the literature, to bypass IDS for injecting a small piece of programmable malicious code (PMC) into a PLC's control logic as an initial attack vector, allowing it to execute with every scan cycle. We propose three unique attack methods (GizmoSplit, BuffWarp, and EnigmaFlow) using PMC as a proof of concept that blends control logic with network traffic via payload encoding, small-size payloads, or sparse memory addressing. The GizmoSplit attack divides the control logic into small gadgets and writes them in random memory locations in a PLC; PMC modifies the stack with the location of the gadgets to execute them as return-oriented programming. The BuffWarp attack employs a small-size buffer where the attacker writes malicious code periodically to bypass stateful inspection at the payload level; PMC, in turn, keeps moving the buffer content to consecutive memory locations to execute. The EnigmaFlow attack encodes control logic and sends it to a PLC's typically unused memory region, which PMC decodes and executes. The evaluation results indicate that these attacks are stealthy and can subvert IDS utilizing standard message header and payload features. This work points to a research gap in intrusion detection that caters to control logic attacks exploiting PLC design features. © 2024 IEEE.</t>
  </si>
  <si>
    <t>control logic; ICS attacks; industrial control systems; intrusion detection systems; programmable logic controllers</t>
  </si>
  <si>
    <t>Computer circuits; Electric power system control; Intrusion detection; Location; Malware; Network security; Programmable logic controllers; Programmed control systems; Real time systems; Control logic; Controller designs; Design features; Industrial control system attack; Industrial control systems; Intrusion Detection Systems; Logic attacks; Malicious codes; Memory locations; Controllers</t>
  </si>
  <si>
    <t>979-835037394-3</t>
  </si>
  <si>
    <t>Proc. IEEE Int. Symp. Hardw. Oriented Secur. Trust, HOST</t>
  </si>
  <si>
    <t>2-s2.0-85196096012</t>
  </si>
  <si>
    <t>2025-10-01 15:05:56</t>
  </si>
  <si>
    <t>No Threats Modelling</t>
  </si>
  <si>
    <t>Bhadani U.</t>
  </si>
  <si>
    <t>Bhadani, Ujas (58565762400)</t>
  </si>
  <si>
    <t>58565762400</t>
  </si>
  <si>
    <t>Smart Grid Security: Innovative Approaches for Threat Detection and Countermeasures</t>
  </si>
  <si>
    <t>Proceedings of 2024 1st Edition of the Mediterranean Smart Cities Conference, MSCC 2024</t>
  </si>
  <si>
    <t>10.1109/MSCC62288.2024.10697086</t>
  </si>
  <si>
    <t>https://www.scopus.com/inward/record.uri?eid=2-s2.0-85207056862&amp;doi=10.1109%2fMSCC62288.2024.10697086&amp;partnerID=40&amp;md5=793e1b0bdc48f7239dfa1f31c3c45ca5</t>
  </si>
  <si>
    <t>Cybersecurity Expert, Khoury College of Computer Science, Northeastern University, Boston, United States</t>
  </si>
  <si>
    <t>Bhadani U., Cybersecurity Expert, Khoury College of Computer Science, Northeastern University, Boston, United States</t>
  </si>
  <si>
    <t>Electric power networks are now more susceptible to cyberattacks due to their increased interconnectivity and digitization. The security of smart grid systems and the effects of cyberattacks on system functionality and operations are consequently raising concerns. The types, frequency, and effects of cyber assaults on smart grid systems are covered in this study, along with an overview of how they affect system performance. In the following survey, numerous defense tactics and strategies are also covered that can be used to lessen the danger of cyberattacks on smart grid systems. This study offers a thorough assessment of the state of cyber security in smart grid systems today and emphasizes the need for increased awareness and financial support for cyber security measures to safeguard these vital infrastructure components. ©2024 IEEE.</t>
  </si>
  <si>
    <t>critical infrastructure; industrial control systems; SCADA; security attacks; smart grids</t>
  </si>
  <si>
    <t>Critical infrastructures; Cyber attacks; SCADA systems; Cyber security; Cyber-attacks; Industrial control systems; Innovative approaches; SCADA; Security attacks; Smart grid; Smart grid systems; Smart grids security; Threat detection; Smart power grids</t>
  </si>
  <si>
    <t>U. Bhadani; Cybersecurity Expert, Khoury College of Computer Science, Northeastern University, Boston, United States; email: ujas.bhadani.24@gmail.com</t>
  </si>
  <si>
    <t>Dahmane A.B.; Dahmane A.B.; El Hibaoui A.; Essaaidi M.</t>
  </si>
  <si>
    <t>979-835037400-1</t>
  </si>
  <si>
    <t>Proc. Ed. Mediterr. Smart Cities Conf., MSCC</t>
  </si>
  <si>
    <t>2-s2.0-85207056862</t>
  </si>
  <si>
    <t>2025-09-29 09:09:01</t>
  </si>
  <si>
    <t>ThreatAnalysisMethodology: STRIDE, DREAD</t>
  </si>
  <si>
    <t>Davis R.; Keskin O.F.</t>
  </si>
  <si>
    <t>Davis, Rian (59161216100); Keskin, Omer F. (57193457291)</t>
  </si>
  <si>
    <t>59161216100; 57193457291</t>
  </si>
  <si>
    <t>Cyber Threat Modeling for Water and Wastewater Systems: Contextualizing STRIDE and DREAD with the Current Cyber Threat Landscape</t>
  </si>
  <si>
    <t>2024 Systems and Information Engineering Design Symposium, SIEDS 2024</t>
  </si>
  <si>
    <t>10.1109/SIEDS61124.2024.10534706</t>
  </si>
  <si>
    <t>https://www.scopus.com/inward/record.uri?eid=2-s2.0-85195301584&amp;doi=10.1109%2fSIEDS61124.2024.10534706&amp;partnerID=40&amp;md5=093db5eeb52f22b04876068db70d0787</t>
  </si>
  <si>
    <t>University at Albany, Cybersecurity Department, Albany, 12222, NY, United States</t>
  </si>
  <si>
    <t>Davis R., University at Albany, Cybersecurity Department, Albany, 12222, NY, United States; Keskin O.F., University at Albany, Cybersecurity Department, Albany, 12222, NY, United States</t>
  </si>
  <si>
    <t>Water and Wastewater Systems (WWS) are integral to maintaining public health and safety, with numerous other infrastructure sectors also being reliant upon the services WWS provides. Given these dependencies and how critical WWS is to public health and safety, it is integral to understand all possible threats. As water and wastewater infrastructure increases the integration of cyber systems in its infrastructure, the threat posed by malicious cyber threat actors (CTAs) and the risk of cyberattacks has increased concurrently. The growing attack surface of water systems has been targeted in various ways in the past, including the release of wastewater by an insider threat, gaining remote access to a dam's SCADA network by state-backed hackers, and installing malware on water systems by cybercriminals. Such incidents show how industrial control system networks in critical water infrastructure require attention. This paper provides an analysis of the WWS threat landscape, benchmarking with the 22 incidents that occurred from 2000 to 2023.  © 2024 IEEE.</t>
  </si>
  <si>
    <t>Critical infrastructures; Health risks; Personal computing; Public health; SCADA systems; Surface waters; Waterworks; 'current; Cyber threats; Health and safety; Infrastructure sector; Threat modeling; Waste water systems; Wastewater infrastructure; Water and wastewater; Water infrastructure; Water system; Malware</t>
  </si>
  <si>
    <t>R. Davis; University at Albany, Cybersecurity Department, Albany, 12222, United States; email: rmdavis@albany.edu</t>
  </si>
  <si>
    <t>979-835038514-4</t>
  </si>
  <si>
    <t>Syst. Inf. Eng. Des. Symp., SIEDS</t>
  </si>
  <si>
    <t>2-s2.0-85195301584</t>
  </si>
  <si>
    <t>2025-07-22 10:55:48</t>
  </si>
  <si>
    <t>No Threats  Modelling</t>
  </si>
  <si>
    <t>Walita T.; Erba A.; Castellanos J.H.; Tippenhauer N.O.</t>
  </si>
  <si>
    <t>Walita, Tim (58536593400); Erba, Alessandro (57219505735); Castellanos, John H. (57188827935); Tippenhauer, Nils Ole (35106192100)</t>
  </si>
  <si>
    <t>58536593400; 57219505735; 57188827935; 35106192100</t>
  </si>
  <si>
    <t>Blind Concealment from Reconstruction-based Attack Detectors for Industrial Control Systems via Backdoor Attacks</t>
  </si>
  <si>
    <t>CPSS 2023 - Proceedings of the 9th ACM ASIA Conference on Cyber-Physical System Security Workshop</t>
  </si>
  <si>
    <t>10.1145/3592538.3594271</t>
  </si>
  <si>
    <t>https://www.scopus.com/inward/record.uri?eid=2-s2.0-85167947387&amp;doi=10.1145%2f3592538.3594271&amp;partnerID=40&amp;md5=6db9d61d9154ceb2a31e14f28221e36b</t>
  </si>
  <si>
    <t>Saarland University, Saarbrücken, Germany; CISPA Helmholtz Center for Information Security, Saarbrücken Graduate School of Computer Science, Saarland University, Saarbrücken, Germany; CISPA Helmholtz Center for Information Security, Saarbrücken, Germany</t>
  </si>
  <si>
    <t>Walita T., Saarland University, Saarbrücken, Germany; Erba A., CISPA Helmholtz Center for Information Security, Saarbrücken Graduate School of Computer Science, Saarland University, Saarbrücken, Germany; Castellanos J.H., CISPA Helmholtz Center for Information Security, Saarbrücken, Germany; Tippenhauer N.O., CISPA Helmholtz Center for Information Security, Saarbrücken, Germany</t>
  </si>
  <si>
    <t>Industrial Control Systems (ICS) are responsible for the safety and operations of critical infrastructure such as power grids. Attacks on such systems threaten the well-being of societies, and the lives of human operators, and pose huge financial risks. To detect those attacks, process-aware attack detectors were proposed by academia and industry to verify inherent physical correlations. Such detectors will be trained by the vendors on process data from the target system, which allows malicious manipulations of the training process to later evade detection at runtime. Previously proposed attacks in this direction rely on detailed process knowledge to predict the exact attack features to be concealed. In this work, we show that even without process knowledge (i.e. being able to predict attack results), it is possible to launch training time attacks against such attack detectors. Our backdoor attacks achieve this by identifying alien actuator state combinations that never occur in the training samples and injecting them with legitimate sensor data into the training set. At runtime, the attacker spoofs one of those alien actuator state combinations, which triggers (regardless of sensor values) the classification as normal. To demonstrate this, we design and implement five backdoor attacks against autoencoder-based anomaly detectors for 14 attacks from the BATADAL dataset collection. Our evaluation shows that our best backdoor attack implementation can achieve perfect attack concealment and accomplish an average recall of 0.19. Compared to the performance of the detector for anomalies that are not concealed by inserted triggers, our attacks decrease the detector's recall by 0.477. © 2023 Owner/Author.</t>
  </si>
  <si>
    <t>Anomaly Detection; Backdoor Attack; Industrial Control System</t>
  </si>
  <si>
    <t>Accident prevention; Actuators; Electric power system control; Intelligent control; Anomaly detection; Backdoor attack; Backdoors; Human operator; Human pose; Industrial control systems; Power grids; Process knowledge; Runtimes; Well being; Anomaly detection</t>
  </si>
  <si>
    <t>979-840070090-3</t>
  </si>
  <si>
    <t>CPSS - Proc. ACM ASIA Conf. Cyber-Phys. Syst. Secur. Workshop</t>
  </si>
  <si>
    <t>2-s2.0-85167947387</t>
  </si>
  <si>
    <t>2025-10-01 17:07:55</t>
  </si>
  <si>
    <t>Contains Threats, PLC, network ransomware</t>
  </si>
  <si>
    <t>Altschaffel R.; Dittmann J.; Lamshoeft K.; Toplu E.</t>
  </si>
  <si>
    <t>Altschaffel, Robert (35197724900); Dittmann, Jana (56157419800); Lamshoeft, Kevin (57197734796); Toplu, Emirkan (57866907300)</t>
  </si>
  <si>
    <t>35197724900; 56157419800; 57197734796; 57866907300</t>
  </si>
  <si>
    <t>Network-Based Ransomware - A New Threat Demonstrated on the Example of Industrial Control Systems</t>
  </si>
  <si>
    <t>Interdisciplinary Conference on Electrics and Computer, INTCEC 2024</t>
  </si>
  <si>
    <t>10.1109/INTCEC61833.2024.10603018</t>
  </si>
  <si>
    <t>https://www.scopus.com/inward/record.uri?eid=2-s2.0-85201155000&amp;doi=10.1109%2fINTCEC61833.2024.10603018&amp;partnerID=40&amp;md5=fc4c63be8e3c39826b20ba2f86c81c0a</t>
  </si>
  <si>
    <t>Otto-von-Guericke University, Advanced Multimedia and Security Lab, Magdeburg, Germany</t>
  </si>
  <si>
    <t>Altschaffel R., Otto-von-Guericke University, Advanced Multimedia and Security Lab, Magdeburg, Germany; Dittmann J., Otto-von-Guericke University, Advanced Multimedia and Security Lab, Magdeburg, Germany; Lamshoeft K., Otto-von-Guericke University, Advanced Multimedia and Security Lab, Magdeburg, Germany; Toplu E., Otto-von-Guericke University, Advanced Multimedia and Security Lab, Magdeburg, Germany</t>
  </si>
  <si>
    <t>Ransomware is known to take control of data. This paper introduces and explores the novel threat of network ransomware which targets the network between computers. This paper demonstrates this threat on the example of Industrial Control Systems (ICS). In order to describe this novel threat, the Threat Landscape for Ransomware Attacks taxonomy from the European Union Agency for Cybersecurity (ENISA) is extended by the assets - Network and Device - as well as one action - Alter. The original four ENISA actions Lock, Encrypt, Delete and Steal and the additional action Alter are described in this extended taxonomy and demonstrated within an ICS environment in two Evaluation Cases (EC) including the network protocols Modbus/TCP and OPC UA as well as one complex scenario of network based ransomware within ICS involving 3 sensors, 5 actuators, 2 PLCs and 1 Historian using the OPC UA protocol.  © 2024 IEEE.</t>
  </si>
  <si>
    <t>Attack Vectors; Communication and Physical Layer Security; Industrial Control System; Network Ransomware; Network Security; Ransomware</t>
  </si>
  <si>
    <t>Control systems; Cybersecurity; Internet protocols; Malware; Petroleum reservoir evaluation; Taxonomies; Attack vector; Communication and physical layer security; Communication layers; Cyber security; European union; Industrial control systems; Network ransomware; Network-based; Networks security; Physical layer security; Network security</t>
  </si>
  <si>
    <t>979-835034945-0</t>
  </si>
  <si>
    <t>Interdiscip. Conf. Electr. Comput., INTCEC</t>
  </si>
  <si>
    <t>2-s2.0-85201155000</t>
  </si>
  <si>
    <t>2025-08-01 10:59:21</t>
  </si>
  <si>
    <t>Contains Threats</t>
  </si>
  <si>
    <t>Joy A.; Chandane M.; Kazi F.</t>
  </si>
  <si>
    <t>Joy, Anooja (59789662300); Chandane, Madhav (54950107500); Kazi, Faruk (36455806600)</t>
  </si>
  <si>
    <t>59789662300; 54950107500; 36455806600</t>
  </si>
  <si>
    <t>An Investigative Evaluation of Open Source Intrusion Detection Systems for Operational Technology Networks Using MITRE ICS Attack Simulation on a Thermal Power Plant Test Bed</t>
  </si>
  <si>
    <t>2024 IEEE 21st India Council International Conference, INDICON 2024</t>
  </si>
  <si>
    <t>10.1109/INDICON63790.2024.10958514</t>
  </si>
  <si>
    <t>https://www.scopus.com/inward/record.uri?eid=2-s2.0-105004558726&amp;doi=10.1109%2fINDICON63790.2024.10958514&amp;partnerID=40&amp;md5=37d13544a84997dca03e216c740f5ecc</t>
  </si>
  <si>
    <t>Vjti, Computer Engineering Dept., Mumbai, India; Vjti, Department of Electrical Engineering, Mumbai, India</t>
  </si>
  <si>
    <t>Joy A., Vjti, Computer Engineering Dept., Mumbai, India; Chandane M., Vjti, Computer Engineering Dept., Mumbai, India; Kazi F., Vjti, Department of Electrical Engineering, Mumbai, India</t>
  </si>
  <si>
    <t>Intrusion Detection Systems (IDS) play a critical role in identifying security breaches by monitoring network activities and protecting computer networks and systems. The significant increase in cyber attacks targeting the Operational Technology (OT) domain has necessitated the deployment of IDS solutions to detect malicious activities within industrial networks. High-speed traffic generated in Industrial Control System (ICS) environments presents a unique challenge for IDS, as they must monitor large and diverse traffic volumes while maintaining low latency and high accuracy. This study evaluates the performance of three widely used open source IDS solutions-Zeek, Suricata, and Wazuh-across various parameters like attack detection coverage, packet drop rate, and resource utilization which are crucial for ICS environments. The evaluation was conducted using a Hardware-in-the-Loop (HIL) Thermal Power Plant (TPP) test bed, where various cyberattacks using various techniques from the MITRE ICS ATT&amp;CK matrix were executed simulating real-world threats to critical infrastructure. Events detected by IDS sensors from the network traffic of the test bed were transmitted to a distributed Elastic cluster and visualized using Kibana dashboards. This systematic assessment aims to provide insight into the effectiveness of open-source IDS solutions in addressing the unique security challenges of ICS environments.  © 2024 IEEE.</t>
  </si>
  <si>
    <t>Industrial Control System (ICS); Intrusion Detection System (IDS); Operational Technology (OT)</t>
  </si>
  <si>
    <t>Computer testing; Computer viruses; Control rooms (power plants); Critical infrastructures; Open loop control; Parameter estimation; Industrial control system; Industrial control systems; Intrusion detection system; Intrusion Detection Systems; Open-source; Operational technologies; Operational technology; System environment; System solution; Test bed; Network intrusion</t>
  </si>
  <si>
    <t>979-835039128-2</t>
  </si>
  <si>
    <t>IEEE India Counc. Int. Conf., INDICON</t>
  </si>
  <si>
    <t>2-s2.0-105004558726</t>
  </si>
  <si>
    <t>2025-10-03 15:15:50</t>
  </si>
  <si>
    <t>ContainsThreats: MITRE ATT&amp;CK extension</t>
  </si>
  <si>
    <t>López-Morales E.; Planta U.; Rubio-Medrano C.; Abbasi A.; Cardenas A.A.</t>
  </si>
  <si>
    <t>López-Morales, Efrén (57219941614); Planta, Ulysse (58955114200); Rubio-Medrano, Carlos (55747777600); Abbasi, Ali (57198237842); Cardenas, Alvaro A. (8316952100)</t>
  </si>
  <si>
    <t>57219941614; 58955114200; 55747777600; 57198237842; 8316952100</t>
  </si>
  <si>
    <t>12SoK: Security of Programmable Logic Controllers</t>
  </si>
  <si>
    <t>Proceedings of the 33rd USENIX Security Symposium</t>
  </si>
  <si>
    <t>https://www.scopus.com/inward/record.uri?eid=2-s2.0-85204950513&amp;partnerID=40&amp;md5=77edb0a4686f7dc62c2bdd31def373d3</t>
  </si>
  <si>
    <t>Texas A&amp;M University-Corpus Christi, United States; CISPA Helmholtz Center for Information Security, Germany; University of California, Santa Cruz, United States</t>
  </si>
  <si>
    <t>López-Morales E., Texas A&amp;M University-Corpus Christi, United States; Planta U., CISPA Helmholtz Center for Information Security, Germany; Rubio-Medrano C., Texas A&amp;M University-Corpus Christi, United States; Abbasi A., CISPA Helmholtz Center for Information Security, Germany; Cardenas A.A., University of California, Santa Cruz, United States</t>
  </si>
  <si>
    <t>Billions of people rely on essential utility and manufacturing infrastructures such as water treatment plants, energy management, and food production. Our dependence on reliable infrastructures makes them valuable targets for cyberattacks. One of the prime targets for adversaries attacking physical infrastructures are Programmable Logic Controllers (PLCs) because they connect the cyber and physical worlds. In this study, we conduct the first comprehensive systematization of knowledge that explores the security of PLCs: We present an in-depth analysis of PLC attacks and defenses and discover trends in the security of PLCs from the last 17 years of research. We introduce a novel threat taxonomy for PLCs and Industrial Control Systems (ICS). Finally, we identify and point out research gaps that, if left ignored, could lead to new catastrophic attacks against critical infrastructures. © USENIX Security Symposium 2024.All rights reserved.</t>
  </si>
  <si>
    <t>Plant management; Cyber-attacks; Energy; Food production; Logic controller; Manufacturing infrastructure; Physical world; Programmable logic; Systematisation; Treatment plants; Utility infrastructure; Industrial water treatment</t>
  </si>
  <si>
    <t>USENIX Association</t>
  </si>
  <si>
    <t>978-193913344-1</t>
  </si>
  <si>
    <t>Proc. USENIX Secur. Symp.</t>
  </si>
  <si>
    <t>2-s2.0-85204950513</t>
  </si>
  <si>
    <t>2025-07-22 10:11:46</t>
  </si>
  <si>
    <t>Rodríguez R.J.; Marrone S.; Marcos I.; Porzio G.</t>
  </si>
  <si>
    <t>Rodríguez, Ricardo J. (56794828000); Marrone, Stefano (57203296376); Marcos, Ibai (58478014300); Porzio, Giuseppe (57193920422)</t>
  </si>
  <si>
    <t>56794828000; 57203296376; 58478014300; 57193920422</t>
  </si>
  <si>
    <t>MOSTO: A toolkit to facilitate security auditing of ICS devices using Modbus/TCP</t>
  </si>
  <si>
    <t>132</t>
  </si>
  <si>
    <t>103373</t>
  </si>
  <si>
    <t>10.1016/j.cose.2023.103373</t>
  </si>
  <si>
    <t>https://www.scopus.com/inward/record.uri?eid=2-s2.0-85164242360&amp;doi=10.1016%2fj.cose.2023.103373&amp;partnerID=40&amp;md5=654acf7019a9be326cca22d9893fd464</t>
  </si>
  <si>
    <t>Aragón Institute of Engineering Research (I3A) Universidad de Zaragoza, Spain; Dpto. di Matematica e Fisica, University of Campania “Luigi Vanvitelli”, Caserta, Italy; Independent Researcher, Spain</t>
  </si>
  <si>
    <t>Rodríguez R.J., Aragón Institute of Engineering Research (I3A) Universidad de Zaragoza, Spain; Marrone S., Dpto. di Matematica e Fisica, University of Campania “Luigi Vanvitelli”, Caserta, Italy; Marcos I., Independent Researcher, Spain; Porzio G., Dpto. di Matematica e Fisica, University of Campania “Luigi Vanvitelli”, Caserta, Italy</t>
  </si>
  <si>
    <t>The integration of the Internet into industrial plants has connected Industrial Control Systems (ICS) worldwide, resulting in an increase in the number of attack surfaces and the exposure of software and devices not originally intended for networking. In addition, the heterogeneity and technical obsolescence of ICS architectures, legacy hardware, and outdated software pose significant challenges. Since these systems control essential infrastructure such as power grids, water treatment plants, and transportation networks, security is of the utmost importance. Unfortunately, current methods for evaluating the security of ICS are often ad-hoc and difficult to formalize into a systematic evaluation methodology with predictable results. In this paper, we propose a practical method supported by a concrete toolkit for performing penetration testing in an industrial setting. The primary focus is on the Modbus/TCP protocol as the field control protocol. Our approach relies on a toolkit, named MOSTO, which is licensed under GNU GPL and enables auditors to assess the security of existing industrial control settings without interfering with ICS workflows. Furthermore, we present a model-driven framework that combines formal methods, testing techniques, and simulation to (formally) test security properties in ICS networks. © 2023 The Authors</t>
  </si>
  <si>
    <t>Industrial control systems; Modbus; Penetration testing; Security auditing</t>
  </si>
  <si>
    <t>Control systems; Electric power system control; Formal methods; Network security; Obsolescence; Software testing; Water treatment plants; 'current; Control system architecture; Industrial control systems; Modbus; Networks security; Penetration testing; Power grids; Security auditing; System control; Transportation network; Industrial plants</t>
  </si>
  <si>
    <t>R.J. Rodríguez; Aragón Institute of Engineering Research (I3A) Universidad de Zaragoza, Spain; email: rjrodriguez@unizar.es</t>
  </si>
  <si>
    <t>All Open Access; Green Open Access; Hybrid Gold Open Access</t>
  </si>
  <si>
    <t>2-s2.0-85164242360</t>
  </si>
  <si>
    <t>2025-09-29 12:41:45</t>
  </si>
  <si>
    <t>Gebhard A.; Perouli D.</t>
  </si>
  <si>
    <t>Gebhard, Alexander (58135773300); Perouli, Debbie (52664042200)</t>
  </si>
  <si>
    <t>58135773300; 52664042200</t>
  </si>
  <si>
    <t>Attacks on EtherNet/IP and Migrations through CIP Security</t>
  </si>
  <si>
    <t>Proceeding - 2024 Annual Computer Security Applications Conference Workshops, ACSACW 2024</t>
  </si>
  <si>
    <t>10.1109/ACSACW65225.2024.00022</t>
  </si>
  <si>
    <t>https://www.scopus.com/inward/record.uri?eid=2-s2.0-105001670584&amp;doi=10.1109%2fACSACW65225.2024.00022&amp;partnerID=40&amp;md5=8b49925cb742d64c716f2bf6da24dafb</t>
  </si>
  <si>
    <t>Marquette University, Milwaukee, WI, United States</t>
  </si>
  <si>
    <t>Gebhard A., Marquette University, Milwaukee, WI, United States; Perouli D., Marquette University, Milwaukee, WI, United States</t>
  </si>
  <si>
    <t>With the Fourth Industrial Revolution (termed "Industry 4.0"), vendors and end users have been integrating Operational Technology (OT) more closely with conventional Information Technology (IT) networks. This allows end users to make real-Time decisions, enhance productivity, and leverage up-And-coming technologies such as artificial intelligence in the manufacturing process. However, this does not come without risk. Most protocols that OT devices implement were conceived decades ago, often without any consideration to security. This leaves otherwise insecure devices exposed to IT networks. This paper investigates the security of the EtherNet/IP protocol from an attacker's perspective. We develop an attack-defense tree of possible man-in-The-middle (MitM) attacks against the EtherNet/IP protocol. We highlight nuances regarding the EtherNet/IP protocol, which make some traditional MitM attacks harder for attackers to execute. Then, we then demonstrate how the semantics of the EtherNet/IP OT protocol can be abused to execute various attacks. Finally, we give an analysis of EtherNet/IP's countermeasures and a discourse on the challenges of fortifying the EtherNet/IP protocol's security.  © 2024 IEEE.</t>
  </si>
  <si>
    <t>CIP; EtherNet/IP; ICS; industrial; networking; protocol; security</t>
  </si>
  <si>
    <t>CIP; End-users; Ethernet/IP; ICS; Industrial; IP protocol; Networking; Operational technologies; Security; Technology network</t>
  </si>
  <si>
    <t>A. Gebhard; Marquette University, Milwaukee, United States; email: alexander.gebhard@marquette.edu</t>
  </si>
  <si>
    <t>979-833153281-9</t>
  </si>
  <si>
    <t>Proceeding - Annu. Comput. Secur. Appl. Conf. Workshops, ACSACW</t>
  </si>
  <si>
    <t>2-s2.0-105001670584</t>
  </si>
  <si>
    <t>2025-07-23 08:58:46</t>
  </si>
  <si>
    <t>Not Threat Modelling</t>
  </si>
  <si>
    <t>Liu M.; Zhang X.; Zhu H.; Zhang Z.; Deng R.</t>
  </si>
  <si>
    <t>Liu, Mengxiang (57203916040); Zhang, Xin (35794580600); Zhu, Hengye (57735440200); Zhang, Zhenyong (57203918007); Deng, Ruilong (35182640000)</t>
  </si>
  <si>
    <t>57203916040; 35794580600; 57735440200; 57203918007; 35182640000</t>
  </si>
  <si>
    <t>Physics-Aware Watermarking Embedded in Unknown Input Observers for False Data Injection Attack Detection in Cyber-Physical Microgrids</t>
  </si>
  <si>
    <t>IEEE Transactions on Information Forensics and Security</t>
  </si>
  <si>
    <t>19</t>
  </si>
  <si>
    <t>10.1109/TIFS.2024.3447235</t>
  </si>
  <si>
    <t>https://www.scopus.com/inward/record.uri?eid=2-s2.0-85201784364&amp;doi=10.1109%2fTIFS.2024.3447235&amp;partnerID=40&amp;md5=bdc2332adcef8a14965db607182c23be</t>
  </si>
  <si>
    <t>The University of Sheffield, Department of Automatic Control and Systems Engineering, Sheffield, S10 2TN, United Kingdom; Zhejiang University, State Key Laboratory of Industrial Control Technology, The College of Control Science and Engineering, Hangzhou, 310027, China</t>
  </si>
  <si>
    <t>Liu M., The University of Sheffield, Department of Automatic Control and Systems Engineering, Sheffield, S10 2TN, United Kingdom; Zhang X., The University of Sheffield, Department of Automatic Control and Systems Engineering, Sheffield, S10 2TN, United Kingdom; Zhu H., Zhejiang University, State Key Laboratory of Industrial Control Technology, The College of Control Science and Engineering, Hangzhou, 310027, China; Zhang Z., Zhejiang University, State Key Laboratory of Industrial Control Technology, The College of Control Science and Engineering, Hangzhou, 310027, China; Deng R., Zhejiang University, State Key Laboratory of Industrial Control Technology, The College of Control Science and Engineering, Hangzhou, 310027, China</t>
  </si>
  <si>
    <t>The physics-aware watermarking-based detection method has shown great potential in detecting stealthy False Data Injection Attacks (FDIAs) by adding appropriate watermarks to control commands or sensor measurements, especially in industrial control systems and grid-tied Distributed Energy Resources (DERs). However, existing watermarking-based detection methods have limitations in either handling the intricate physical couplings among DERs or characterising the fast changing power electronics dynamics, and thus cannot be directly applied to microgrids. Inspired by the methodology of Unknown Input Observer (UIO), which can be employed for the distributed anomaly monitoring in cyber-physical microgrids but would be easily bypassed once the adversary has the knowledge of certain electrical parameters, this paper makes the first attempt to investigate the physics-aware watermarking embedded in UIOs such that the stealthy FDIAs would be intentionally disrupted by the watermarking scheme. Based on the theoretical analysis of the detection enhancement and performance degradation under watermarking-enhanced UIOs, the watermark strengths, UIO parameters, and control gains are optimally co-designed to significantly enhance the detection effectiveness while not degrading the control performance. The robustness of the watermarking-enhanced UIO to Time Synchronisation Errors (TSEs) is improved by employing a sliding time window with appropriate length. The performance of the proposed method is validated through Matlab/Simulink studies and cyber-physical co-simulation experiments, and the sensitivities of the detection latency and TSE robustness to watermark strength and detection window's length are comprehensively studied.  © 2005-2012 IEEE.</t>
  </si>
  <si>
    <t>cyber-physical co-simulation; False data injection attack; microgrid; physics-aware watermarking; proactive detection; unknown input observer</t>
  </si>
  <si>
    <t>Cybersecurity; Electric power system control; Electric variables control; Intelligent systems; Invariance; Knowledge based systems; Microgrids; Network security; Robustness (control systems); Steganography; Watermarking; Cosimulation; Cybe-physical co-simulation; Cyber physicals; False data injection attacks; Microgrid; Perturbation method; Physic-aware watermarking; Proactive detection; Real - Time system; Robustness; Unknown input observer; MATLAB</t>
  </si>
  <si>
    <t>X. Zhang; The University of Sheffield, Department of Automatic Control and Systems Engineering, Sheffield, S10 2TN, United Kingdom; email: xin.zhang1@sheffield.ac.uk</t>
  </si>
  <si>
    <t>15566013</t>
  </si>
  <si>
    <t>IEEE Trans. Inf. Forensics Secur.</t>
  </si>
  <si>
    <t>2-s2.0-85201784364</t>
  </si>
  <si>
    <t>2025-10-15 08:44:02</t>
  </si>
  <si>
    <t>Contains Threat, RS485 attack</t>
  </si>
  <si>
    <t>Ha S.S.; Foerster F.; Beuster H.; Doebbert T.R.; Merli D.; Scholl G.</t>
  </si>
  <si>
    <t>Ha, Song Son (57955741700); Foerster, Florian (59396774100); Beuster, Henry (57956201200); Doebbert, Thomas Robert (57226755204); Merli, Dominik (36675433800); Scholl, Gerd (7005791343)</t>
  </si>
  <si>
    <t>57955741700; 59396774100; 57956201200; 57226755204; 36675433800; 7005791343</t>
  </si>
  <si>
    <t>Attacking Automation Systems via the PLC Backplane Bus</t>
  </si>
  <si>
    <t>IEEE International Conference on Automation Science and Engineering</t>
  </si>
  <si>
    <t>10.1109/CASE59546.2024.10711831</t>
  </si>
  <si>
    <t>https://www.scopus.com/inward/record.uri?eid=2-s2.0-85208225113&amp;doi=10.1109%2fCASE59546.2024.10711831&amp;partnerID=40&amp;md5=1fc47adccff0124732f89fd99c718574</t>
  </si>
  <si>
    <t>Helmut-Schmidt-University, Faculty of Electrical Measurement Engineering, Hamburg, 22043, Germany; Augsburg Technical University of Applied Sciences, Institute for Innovative Safety and Security, Augsburg, 86161, Germany</t>
  </si>
  <si>
    <t>Ha S.S., Helmut-Schmidt-University, Faculty of Electrical Measurement Engineering, Hamburg, 22043, Germany; Foerster F., Augsburg Technical University of Applied Sciences, Institute for Innovative Safety and Security, Augsburg, 86161, Germany; Beuster H., Helmut-Schmidt-University, Faculty of Electrical Measurement Engineering, Hamburg, 22043, Germany; Doebbert T.R., Helmut-Schmidt-University, Faculty of Electrical Measurement Engineering, Hamburg, 22043, Germany; Merli D., Augsburg Technical University of Applied Sciences, Institute for Innovative Safety and Security, Augsburg, 86161, Germany; Scholl G., Helmut-Schmidt-University, Faculty of Electrical Measurement Engineering, Hamburg, 22043, Germany</t>
  </si>
  <si>
    <t>Ensuring the security of Programmable Logic Controllers (PLC) is crucial to protect Industrial Control Systems (ICS) from potential risks and vulnerabilities. Therefore, research of security methodologies for PLCs has been present for many years, including investigations of attack vectors and attack prevention at an early stage. The most common attack vectors of PLCs are carried out remotely, which might be mitigated by isolating PLCs to outer network. However, potential risks and vulnerabilities cannot be completely eliminated. This paper presents an attack vector of isolated PLCs by exploiting their backplane bus, which serves as the innermost communication layer of the system. By utilizing this layer, attackers may avoid confrontation with conventional software-based security techniques that protect PLCs from unauthorized access. To evaluate the feasibility of our technique, a malicious device is developed and enhanced to attack the industrial PLC called Revolution Pi (RevPi). Finally, countermeasures to prevent such attacks are proposed. © 2024 IEEE.</t>
  </si>
  <si>
    <t>Intelligent systems; Programmed control systems; Vectors; Attack prevention; Attack vector; Automation systems; Backplanes; Communication layers; Industrial control systems; Logic controller; Potential risks; Programmable logic; Security methodologies; Programmable logic controllers</t>
  </si>
  <si>
    <t>S.S. Ha; Helmut-Schmidt-University, Faculty of Electrical Measurement Engineering, Hamburg, 22043, Germany; email: song.son.ha@hsu-hh.de</t>
  </si>
  <si>
    <t>IEEE Computer Society</t>
  </si>
  <si>
    <t>21618070</t>
  </si>
  <si>
    <t>979-835035851-3</t>
  </si>
  <si>
    <t>IEEE Int. Conf. Autom. Sci. Eng.</t>
  </si>
  <si>
    <t>2-s2.0-85208225113</t>
  </si>
  <si>
    <t>2025-07-22 10:18:18</t>
  </si>
  <si>
    <t>NO</t>
  </si>
  <si>
    <t>Not Downloadable</t>
  </si>
  <si>
    <t>Balogun T.M.; Bahsi H.; Keskin O.F.; Tatar U.</t>
  </si>
  <si>
    <t>Balogun, Taofeek Mobolarinwa (58609347800); Bahsi, Hayretdin (35748618100); Keskin, Omer F. (57193457291); Tatar, Unal (55387787200)</t>
  </si>
  <si>
    <t>58609347800; 35748618100; 57193457291; 55387787200</t>
  </si>
  <si>
    <t>A comparative framework for cyber threat modelling: case of healthcare and industrial control systems</t>
  </si>
  <si>
    <t>International Journal of Critical Infrastructures</t>
  </si>
  <si>
    <t>5</t>
  </si>
  <si>
    <t>10.1504/IJCIS.2023.133282</t>
  </si>
  <si>
    <t>https://www.scopus.com/inward/record.uri?eid=2-s2.0-85171740470&amp;doi=10.1504%2fIJCIS.2023.133282&amp;partnerID=40&amp;md5=7303ff0ce560f068b4c6ada5f5b705ec</t>
  </si>
  <si>
    <t>Centre for Digital Forensics and Cyber Security, Tallinn University of Technology, Akadeemia tee 15a, Tallinn, 12618, Estonia; College of Emergency Preparedness, Homeland Security and Cybersecurity, University at Albany, State University of New York, 1400 Washington Ave., Albany, 12222, NY, United States</t>
  </si>
  <si>
    <t>Balogun T.M., Centre for Digital Forensics and Cyber Security, Tallinn University of Technology, Akadeemia tee 15a, Tallinn, 12618, Estonia; Bahsi H., Centre for Digital Forensics and Cyber Security, Tallinn University of Technology, Akadeemia tee 15a, Tallinn, 12618, Estonia; Keskin O.F., College of Emergency Preparedness, Homeland Security and Cybersecurity, University at Albany, State University of New York, 1400 Washington Ave., Albany, 12222, NY, United States; Tatar U., College of Emergency Preparedness, Homeland Security and Cybersecurity, University at Albany, State University of New York, 1400 Washington Ave., Albany, 12222, NY, United States</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</si>
  <si>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 Copyright © 2023 Inderscience Enterprises Ltd.</t>
  </si>
  <si>
    <t>attack sophistication; attack trees; cyberattack; healthcare; internet of things; IoT; SCADA; threat modelling</t>
  </si>
  <si>
    <t>Health care; SCADA systems; Attack sophistication; Attack tree; Cyber threats; Cyber-attacks; Healthcare; Healthcare facility; Industrial control systems; Property loss; SCADA; Threat modeling; Internet of things</t>
  </si>
  <si>
    <t>U. Tatar; College of Emergency Preparedness, Homeland Security and Cybersecurity, University at Albany, State University of New York, Albany, 1400 Washington Ave., 12222, United States; email: utatar@albany.edu</t>
  </si>
  <si>
    <t>Inderscience Publishers</t>
  </si>
  <si>
    <t>14753219</t>
  </si>
  <si>
    <t>Int. J. Crit. Infrastruct.</t>
  </si>
  <si>
    <t>2-s2.0-85171740470</t>
  </si>
  <si>
    <t>2025-09-29 09:57:04</t>
  </si>
  <si>
    <t>Contains threats, PROFINET</t>
  </si>
  <si>
    <t>Heseding H.; Dieing M.; Meshram A.; Zitterbart M.</t>
  </si>
  <si>
    <t>Heseding, Hauke (57200272965); Dieing, Moritz (58574984900); Meshram, Ankush (57208392790); Zitterbart, Martina (7003667260)</t>
  </si>
  <si>
    <t>57200272965; 58574984900; 57208392790; 7003667260</t>
  </si>
  <si>
    <t>Protocol-Agnostic Detection of Stealth Attacks on Networked Control Systems</t>
  </si>
  <si>
    <t>IEEE International Conference on Industrial Informatics (INDIN)</t>
  </si>
  <si>
    <t>2023-July</t>
  </si>
  <si>
    <t>10.1109/INDIN51400.2023.10218314</t>
  </si>
  <si>
    <t>https://www.scopus.com/inward/record.uri?eid=2-s2.0-85171197603&amp;doi=10.1109%2fINDIN51400.2023.10218314&amp;partnerID=40&amp;md5=6c6db0e5f3ef9ffc2337786b37af682b</t>
  </si>
  <si>
    <t>Institute of Telematics Karlsruhe Institute of Technology (KIT), Karlsruhe, Germany; Kastel Security Research Labs Karlsruhe Institute of Technology (KIT), Karlsruhe, Germany; Vision and Fusion Laboratory (IES) Karlsruhe Institute of Technology (KIT), Karlsruhe, Germany</t>
  </si>
  <si>
    <t>Heseding H., Institute of Telematics Karlsruhe Institute of Technology (KIT), Karlsruhe, Germany, Kastel Security Research Labs Karlsruhe Institute of Technology (KIT), Karlsruhe, Germany; Dieing M., Institute of Telematics Karlsruhe Institute of Technology (KIT), Karlsruhe, Germany; Meshram A., Kastel Security Research Labs Karlsruhe Institute of Technology (KIT), Karlsruhe, Germany, Vision and Fusion Laboratory (IES) Karlsruhe Institute of Technology (KIT), Karlsruhe, Germany; Zitterbart M., Institute of Telematics Karlsruhe Institute of Technology (KIT), Karlsruhe, Germany, Kastel Security Research Labs Karlsruhe Institute of Technology (KIT), Karlsruhe, Germany</t>
  </si>
  <si>
    <t>Attacks on critical infrastructure networks can have severe impact on the physical realm, which makes fast and reliable attack detection a primary security goal. To enhance the security of networked control systems, we introduce a novel approach to detect model-based stealth attacks on industrial real-time protocols. Specifically, we outline how stealth attacks can be detected through passive network monitoring using several supervised and unsupervised machine learning techniques. Our approach leverages computationally inexpensive, well-known detectors (e.g., Support Vector Machines and Local Outlier Factor) and operates in a protocol-agnostic manner that does not require protocol parsing. We evaluate detection capabilities by injecting attack traffic into PROFINET real-time traffic obtained from two different real-world networks. Our results indicate that stealth attacks can be reliably detected within tens of milliseconds. © 2023 IEEE.</t>
  </si>
  <si>
    <t>industrial control systems; machine learning; network security</t>
  </si>
  <si>
    <t>Internet protocols; Learning systems; Networked control systems; Real time systems; Support vector machines; Attack detection; Industrial control systems; Infrastructure networks; Machine-learning; Model-based OPC; Networks security; Passive network monitoring; Real time protocols; Security goals; Stealth attacks; Network security</t>
  </si>
  <si>
    <t>H. Heseding; Institute of Telematics Karlsruhe Institute of Technology (KIT), Karlsruhe, Germany; email: hauke.heseding@kit.edu</t>
  </si>
  <si>
    <t>Dorksen H.; Scanzio S.; Jasperneite J.; Wisniewski L.; Man K.F.; Sauter T.; Seno L.; Trsek H.; Vyatkin V.</t>
  </si>
  <si>
    <t>19354576</t>
  </si>
  <si>
    <t>978-166549313-0</t>
  </si>
  <si>
    <t>IEEE Int. Conf. Ind. Informatics (INDIN)</t>
  </si>
  <si>
    <t>2-s2.0-85171197603</t>
  </si>
  <si>
    <t>2025-10-03 08:15:41</t>
  </si>
  <si>
    <t>Priyanga S.; Pravinraj S.; Repalle V.B.; Krithivasan K.; Shankar Sriram V.S.</t>
  </si>
  <si>
    <t>Priyanga, S. (57209069118); Pravinraj, S. (57214835584); Repalle, Venkata Bhavana (58583347800); Krithivasan, Kannan (22734092100); Shankar Sriram, V.S. (57208896831)</t>
  </si>
  <si>
    <t>57209069118; 57214835584; 58583347800; 22734092100; 57208896831</t>
  </si>
  <si>
    <t>Detection of Cyberattacks in Cyber-Physical Systems Using Supervised Learning and Hypergraphs</t>
  </si>
  <si>
    <t>Lecture Notes in Networks and Systems</t>
  </si>
  <si>
    <t>725 LNNS</t>
  </si>
  <si>
    <t>10.1007/978-981-99-3734-9_27</t>
  </si>
  <si>
    <t>https://www.scopus.com/inward/record.uri?eid=2-s2.0-85171385988&amp;doi=10.1007%2f978-981-99-3734-9_27&amp;partnerID=40&amp;md5=1c3c83817dcdd64a5865e3311d9cb63e</t>
  </si>
  <si>
    <t>Department of Computer Science and Engineering, Srinivasa Ramanujan Centre, SASTRA Deemed University, Kumbakonam, 612001, India; Incedo Inc., Chennai, 600096, India; College of Business, The University of Tampa, Tampa, 33592, United States; School of Computing, SASTRA Deemed University, Thanjavur, 613401, India</t>
  </si>
  <si>
    <t>Priyanga S., Department of Computer Science and Engineering, Srinivasa Ramanujan Centre, SASTRA Deemed University, Kumbakonam, 612001, India; Pravinraj S., Incedo Inc., Chennai, 600096, India; Repalle V.B., College of Business, The University of Tampa, Tampa, 33592, United States; Krithivasan K., School of Computing, SASTRA Deemed University, Thanjavur, 613401, India; Shankar Sriram V.S., School of Computing, SASTRA Deemed University, Thanjavur, 613401, India</t>
  </si>
  <si>
    <t>Critical Infrastructures (CIs) include Supervisiory Control and Data Acquisition (SCADA) systems that gather and monitor real-time data. Recent advancements in CIs enable two-way dialog, automated monitoring, and easier energy supply management. However, without robust security approaches, smart grids are more vulnerable to cyber-threats and cyberattacks. In this context, the researchers focus on developing machine learning approaches for early attack detection with better detection rate and reduced computational overhead. However, most of the security approaches are not helpful in identifying all the SCADA-specific attack vectors. Furthermore, most of the research works focus on the performance, stability, robustness, and efficiency of physical systems rather than security, which is frequently overlooked due to constrained factors such as limited processing and storage capacity. Hence, this work presents Hyperclique–Binary Salp Swarm Algorithm-based Support Vector Machine (HC-BSSA SVM), an adaptive attack detection model for cyber-attack detection in Industrial Control System (ICS) with a high detection rate and less false positives. © 2023, The Author(s), under exclusive license to Springer Nature Singapore Pte Ltd.</t>
  </si>
  <si>
    <t>Attack detection; Critical Infrastructures; Cyber-Physical Systems; Feature selection; Industrial Control Systems</t>
  </si>
  <si>
    <t>Adaptive control systems; Critical infrastructures; Cyber attacks; Cyber Physical System; Digital storage; Embedded systems; Intelligent control; Network security; Public works; Real time systems; SCADA systems; Smart power grids; Attack detection; Control and data acquisition systems; Cybe-physical systems; Cyber-attacks; Cyber-physical systems; Features selection; Hyper graph; Industrial control systems; Security approach; Supervisiory control and data acquisition; Support vector machines</t>
  </si>
  <si>
    <t>V.S. Shankar Sriram; School of Computing, SASTRA Deemed University, Thanjavur, 613401, India; email: sriram@it.sastra.edu</t>
  </si>
  <si>
    <t>Das A.K.; Nayak J.; Naik B.; Vimal S.; Pelusi D.</t>
  </si>
  <si>
    <t>Springer Science and Business Media Deutschland GmbH</t>
  </si>
  <si>
    <t>23673370</t>
  </si>
  <si>
    <t>978-981993733-2</t>
  </si>
  <si>
    <t>Lect. Notes Networks Syst.</t>
  </si>
  <si>
    <t>2-s2.0-85171385988</t>
  </si>
  <si>
    <t>2025-09-29 09:27:33</t>
  </si>
  <si>
    <t xml:space="preserve"> x</t>
  </si>
  <si>
    <t>Not Technical</t>
  </si>
  <si>
    <t>Degue K.H.; Ny J.L.; Efimov D.</t>
  </si>
  <si>
    <t>Degue, Kwassi Holali (57192930347); Ny, Jerome Le (59157694800); Efimov, Denis (8375851500)</t>
  </si>
  <si>
    <t>57192930347; 59157694800; 8375851500</t>
  </si>
  <si>
    <t>Stealthy attacks and attack-resilient interval observers</t>
  </si>
  <si>
    <t>Automatica</t>
  </si>
  <si>
    <t>146</t>
  </si>
  <si>
    <t>110558</t>
  </si>
  <si>
    <t>10.1016/j.automatica.2022.110558</t>
  </si>
  <si>
    <t>https://www.scopus.com/inward/record.uri?eid=2-s2.0-85137161992&amp;doi=10.1016%2fj.automatica.2022.110558&amp;partnerID=40&amp;md5=068842001f08d0ad48e0615ad56b2031</t>
  </si>
  <si>
    <t>Department of Electrical Engineering, Polytechnique Montreal and GERAD, Montreal, H3T-1J4, QC, Canada; Inria, Univ. Lille, CNRS, UMR 9189 - CRIStAL, Lille, F-59000, France; ITMO University, Saint Petersburg, 197101, Russian Federation</t>
  </si>
  <si>
    <t>Degue K.H., Department of Electrical Engineering, Polytechnique Montreal and GERAD, Montreal, H3T-1J4, QC, Canada; Ny J.L., Department of Electrical Engineering, Polytechnique Montreal and GERAD, Montreal, H3T-1J4, QC, Canada; Efimov D., Inria, Univ. Lille, CNRS, UMR 9189 - CRIStAL, Lille, F-59000, France, ITMO University, Saint Petersburg, 197101, Russian Federation</t>
  </si>
  <si>
    <t>Industrial control systems have been frequent targets of cyber attacks during the last decade. Adversaries can hinder the safe operation of these systems by tampering with their sensors and actuators, while ensuring that the monitoring systems are not able to detect such attacks in time. This paper presents methods to design and overcome stealthy attacks on linear time-invariant control systems that estimate their state using an interval observer, in the presence of unknown but bounded noise and perturbations. We analyze scenarios in which a malicious agent compromises the sensors and/or the actuators of the system with additive attack signals to steer the state estimate outside of the bounds provided by the interval observer. We first show that maximally disruptive attack sequences that remain undetected by a linear monitor can be computed recursively via linear programming. We then design an attack-resilient interval observer for the system's state, identifying sufficient conditions on the sensor data for such an observer to be realizable. We propose a computational method to determine optimal observer gains using semi-definite programming and compute bounds for the unknown attack signal as well. In numerical simulations, we illustrate and compare the ability of such interval observers to still provide accurate estimates when under attack. © 2022 Elsevier Ltd</t>
  </si>
  <si>
    <t>Control system security; Interval estimation; Stealthy attacks; Unknown input observers</t>
  </si>
  <si>
    <t>Actuators; Cyber attacks; Linear control systems; Network security; Control system security; Cyber-attacks; Industrial control systems; Interval estimation; Interval observers; Monitoring system; Safe operation; Sensors and actuators; Stealthy attack; Unknown input observer; Linear programming</t>
  </si>
  <si>
    <t>K.H. Degue; Department of Electrical Engineering, Polytechnique Montreal and GERAD, Montreal, H3T-1J4, Canada; email: kwassi-holali.degue@polymtl.ca</t>
  </si>
  <si>
    <t>00051098</t>
  </si>
  <si>
    <t>ATCAA</t>
  </si>
  <si>
    <t>2-s2.0-85137161992</t>
  </si>
  <si>
    <t>2025-10-01 16:22:19</t>
  </si>
  <si>
    <t>Alsabbagh W.; Amogbonjaye S.; Urrego D.; Langendörfer P.</t>
  </si>
  <si>
    <t>Alsabbagh, Wael (57226685266); Amogbonjaye, Samuel (58151180700); Urrego, Diego (58151180800); Langendörfer, Peter (55879998800)</t>
  </si>
  <si>
    <t>57226685266; 58151180700; 58151180800; 55879998800</t>
  </si>
  <si>
    <t>A Stealthy False Command Injection Attack on Modbus based SCADA Systems</t>
  </si>
  <si>
    <t>Proceedings - IEEE Consumer Communications and Networking Conference, CCNC</t>
  </si>
  <si>
    <t>2023-January</t>
  </si>
  <si>
    <t>10.1109/CCNC51644.2023.10059804</t>
  </si>
  <si>
    <t>https://www.scopus.com/inward/record.uri?eid=2-s2.0-85150644104&amp;doi=10.1109%2fCCNC51644.2023.10059804&amp;partnerID=40&amp;md5=6dbac125fe56f86ac652b9491cbb86e5</t>
  </si>
  <si>
    <t>IHP - Leibniz-Institut für Innovative Mikroelektronik, Frankfurt (Oder), Germany; Brandenburg University of Technology Cottbus-Senftenberg, Cottbus, Germany</t>
  </si>
  <si>
    <t>Alsabbagh W., IHP - Leibniz-Institut für Innovative Mikroelektronik, Frankfurt (Oder), Germany, Brandenburg University of Technology Cottbus-Senftenberg, Cottbus, Germany; Amogbonjaye S., Brandenburg University of Technology Cottbus-Senftenberg, Cottbus, Germany; Urrego D., Brandenburg University of Technology Cottbus-Senftenberg, Cottbus, Germany; Langendörfer P., IHP - Leibniz-Institut für Innovative Mikroelektronik, Frankfurt (Oder), Germany, Brandenburg University of Technology Cottbus-Senftenberg, Cottbus, Germany</t>
  </si>
  <si>
    <t>Modbus is a widely-used industrial protocol in Supervisory Control and Data Acquisition (SCADA) systems for different purposes such as controlling remote devices, monitoring physical processes, data acquisition, etc. Unfortunately, such a protocol lacks security means i.e., authentication, integrity, and confidentiality. This has exposed industrial plants using the Modbus protocol and made them attractive to malicious adversaries who could perform various kinds of cyber-attacks causing significant consequences as Stuxnet showed. In this paper, we exploit the insecurity of the Modbus protocol and perform a stealthy false command injection scenario concealing our injection from the SCADA operator. Our attack approach is comprised of two main phases: 1) Pre-attack phase (offline) where an attacker sniffs, collects and stores sufficient valid request-response pairs in a database, 2) Attack phase (online) where the attacker performs false command injection and conceals his injection by replaying a valid response from his database upon each request sent from the HMI user. Such a scenario is quite severe and might cause disastrous damages in SCADA systems and critical infrastructures if it is successfully implemented by malicious adversaries. Finally, we suggest some appropriate mitigation solutions to prevent such a serious threat.  © 2023 IEEE.</t>
  </si>
  <si>
    <t>Command Injection Attacks; Cyber-attacks; ICSs; Modbus Protocol; PLCs; SCADA</t>
  </si>
  <si>
    <t>Computer crime; Crime; Cyber attacks; Industrial plants; Network security; Command injection attack; Command injections; Cyber-attacks; ICS; Industrial protocols; Malicious adversaries; Modbus protocol; PLC; Remote devices; Supervisory control and data acquisition; SCADA systems</t>
  </si>
  <si>
    <t>23319860</t>
  </si>
  <si>
    <t>978-166549734-3</t>
  </si>
  <si>
    <t>Proc. IEEE Consum. Commun. Netw. Conf., CCNC</t>
  </si>
  <si>
    <t>2-s2.0-85150644104</t>
  </si>
  <si>
    <t>2025-07-22 10:12:14</t>
  </si>
  <si>
    <t>Holguin I.; Errapotu S.M.</t>
  </si>
  <si>
    <t>Holguin, Ismael (58759667500); Errapotu, Sai Mounika (57192114761)</t>
  </si>
  <si>
    <t>58759667500; 57192114761</t>
  </si>
  <si>
    <t>Mitigating Common Cyber Vulnerabilities in DNP3 with Transport Layer Security</t>
  </si>
  <si>
    <t>2023 North American Power Symposium, NAPS 2023</t>
  </si>
  <si>
    <t>10.1109/NAPS58826.2023.10318788</t>
  </si>
  <si>
    <t>https://www.scopus.com/inward/record.uri?eid=2-s2.0-85179558207&amp;doi=10.1109%2fNAPS58826.2023.10318788&amp;partnerID=40&amp;md5=27e472f53c0760da4729e5d876367caf</t>
  </si>
  <si>
    <t>University of Texas at El Paso, Department of Electrical and Computer Engineering, El Paso, 79968, TX, United States</t>
  </si>
  <si>
    <t>Holguin I., University of Texas at El Paso, Department of Electrical and Computer Engineering, El Paso, 79968, TX, United States; Errapotu S.M., University of Texas at El Paso, Department of Electrical and Computer Engineering, El Paso, 79968, TX, United States</t>
  </si>
  <si>
    <t>Distributed Network Protocol (DNP3) is a popular protocol used in Industrial Control Systems (ICS) and Critical infrastructure (CI) landscape, and is predominantly used in electrical sector. Its protocol stack is a slightly modified version of the Open Systems Interconnection model and allows reliable communication via TCP/IP making it optimal for Supervisory Control and Data Acquisition (SCADA) systems for remote device monitoring of various electrical equipment &amp; devices, real time monitoring, as well as fault detection. DNP3 however is a plain text application protocol making it vulnerable to Man-in-the-Middle, message replays, message manipulation, and Denial of service attacks. With increased attacks on critical infrastructure, DNP3 protocol security is gaining importance as this SCADA protocol was traditionally designed with flexible communication as requirement but not with security requirements. In this work we test protection features offered by Transport Layer Security protocol, that can be used to secure data and communication channel from attackers by using asymmetric cryptographic suites such as RSA for generating secure session keys to symmetrically encrypt the data in transit; to prevent eavesdropping, ensure message integrity and authentication. This research paper will test security in different attack scenarios and demonstrate that TLS can mitigate some of the more common types of cyber attacks implemented on critical infrastructure. © 2023 IEEE.</t>
  </si>
  <si>
    <t>Attack Mitigation; DNP3 protocol; Transport Layer Security</t>
  </si>
  <si>
    <t>Critical infrastructures; Cybersecurity; Denial-of-service attack; Electric power system protection; Fault detection; Network protocols; Network security; Public works; Real time systems; Attack mitigation; Cyber vulnerabilities; Distributed network protocols; DNP3 protocol; Industrial control systems; Interconnection modeling; Open systems interconnections; Protocol stack; Reliable communication; Transport layer security; SCADA systems</t>
  </si>
  <si>
    <t>979-835031509-7</t>
  </si>
  <si>
    <t>North American Power Symp., NAPS</t>
  </si>
  <si>
    <t>2-s2.0-85179558207</t>
  </si>
  <si>
    <t>2025-07-23 09:01:51</t>
  </si>
  <si>
    <t>Not Threats</t>
  </si>
  <si>
    <t>Fang L.; Shi X.; Liu S.; Li P.</t>
  </si>
  <si>
    <t>Fang, Laihua (7402470111); Shi, Xunxian (57217268262); Liu, Shuo (59108711200); Li, Pingxue (58519378600)</t>
  </si>
  <si>
    <t>7402470111; 57217268262; 59108711200; 58519378600</t>
  </si>
  <si>
    <t>Research on Evaluation and Design of Safety Instrumented Systems Security</t>
  </si>
  <si>
    <t>2023 IEEE 3rd International Conference on Electronic Technology, Communication and Information, ICETCI 2023</t>
  </si>
  <si>
    <t>10.1109/ICETCI57876.2023.10176376</t>
  </si>
  <si>
    <t>https://www.scopus.com/inward/record.uri?eid=2-s2.0-85166477472&amp;doi=10.1109%2fICETCI57876.2023.10176376&amp;partnerID=40&amp;md5=3051f90cf71a9db3c875d4e0cdcac318</t>
  </si>
  <si>
    <t>China Academy of Safety Science and Technology, Department of Industrial Safety Research, Beijing, China; Qinghai Yellow River Upstream Hydropower Development Co., Ltd., Safety and Quality Department, Qinghai, China</t>
  </si>
  <si>
    <t>Fang L., China Academy of Safety Science and Technology, Department of Industrial Safety Research, Beijing, China; Shi X., China Academy of Safety Science and Technology, Department of Industrial Safety Research, Beijing, China; Liu S., China Academy of Safety Science and Technology, Department of Industrial Safety Research, Beijing, China; Li P., Qinghai Yellow River Upstream Hydropower Development Co., Ltd., Safety and Quality Department, Qinghai, China</t>
  </si>
  <si>
    <t>As an important layer of protection for industrial security, Safety Instrumented Systems (SIS) are increasingly vulnerable to external threats such as network attacks, information leakage, and remote destruction. Security incidents involving SIS can result in significant losses to users and even endanger national security. To address this issue, the vulnerability and various threat factors of SIS security are analyzed, a method for calculating and determining the SIS information security level is presented, an SIS information security evaluation technique is developed, and information security defense countermeasures for different network architectures are designed. The risk of security incidents involving enterprise SIS is reduced by this technical method, providing a strong technical guarantee for safe and stable operations.  © 2023 IEEE.</t>
  </si>
  <si>
    <t>Industrial control system; Safety instrumented systems; Security; Threat</t>
  </si>
  <si>
    <t>Accident prevention; Industrial research; Network architecture; Network security; Security systems; Surveying instruments; Industrial control systems; Information leakage; Layers of protections; Network attack; Safety instrumented systems; Security; Security incident; System information; System security; Threat; National security</t>
  </si>
  <si>
    <t>S. Liu; China Academy of Safety Science and Technology, Department of Industrial Safety Research, Beijing, China; email: lius@chinasafety.ac.cn</t>
  </si>
  <si>
    <t>979-835039841-0</t>
  </si>
  <si>
    <t>IEEE Int. Conf. Electron. Technol., Commun. Inf., ICETCI</t>
  </si>
  <si>
    <t>2-s2.0-85166477472</t>
  </si>
  <si>
    <t>2025-07-24 14:02:38</t>
  </si>
  <si>
    <t>Contains Threats, S7 Protocol</t>
  </si>
  <si>
    <t>Alsabbagh W.; Langendorfer P.</t>
  </si>
  <si>
    <t>Alsabbagh, Wael (57226685266); Langendorfer, Peter (55879998800)</t>
  </si>
  <si>
    <t>57226685266; 55879998800</t>
  </si>
  <si>
    <t>You Are What You Attack: Breaking the Cryptographically Protected S7 Protocol</t>
  </si>
  <si>
    <t>IEEE International Workshop on Factory Communication Systems - Proceedings, WFCS</t>
  </si>
  <si>
    <t>2023-April</t>
  </si>
  <si>
    <t>10.1109/WFCS57264.2023.10144251</t>
  </si>
  <si>
    <t>https://www.scopus.com/inward/record.uri?eid=2-s2.0-85162709620&amp;doi=10.1109%2fWFCS57264.2023.10144251&amp;partnerID=40&amp;md5=89fbb158ab52add306c2c98f69b8346e</t>
  </si>
  <si>
    <t>IHP-Leibniz-Institut für Innovative Mikroelektronik, Frankfurt (Oder), Germany; Brandenburg University of Technology Cottbus-Senftenberg, Cottbus, Germany</t>
  </si>
  <si>
    <t>Alsabbagh W., IHP-Leibniz-Institut für Innovative Mikroelektronik, Frankfurt (Oder), Germany, Brandenburg University of Technology Cottbus-Senftenberg, Cottbus, Germany; Langendorfer P., IHP-Leibniz-Institut für Innovative Mikroelektronik, Frankfurt (Oder), Germany, Brandenburg University of Technology Cottbus-Senftenberg, Cottbus, Germany</t>
  </si>
  <si>
    <t>S7 protocol defines an appropriate format for exchanging messages between SIMATIC S7 PLCs and their corresponding engineering software i.e., TIA Portal. Recently, Siemens has provided its newer PLC models and their proprietary S7 protocols with a very developed and sophisticated integrity check mechanism to protect them from various exploits e.g., replay attacks. This paper addresses exactly this point, and investigates the security of the most developed integrity check mechanism that the newest S7CommPlus protocol version implements. Our results showed that the latest S7 PLC models as well as their related protocols are still vulnerable. We found that adversaries can manipulate two hashes that play a significant role in generating keys and bytes for the encryption processes implemented in the S7CommPlus protocol. This allows to reproduce S7 packets and conduct several attacks that eventually impact the operation of the target PLC and the entire physical process it controls. To validate our findings, we test all the attack scenarios presented in this work on a cryptographically protected S7 PLC from the 1500 family which uses the S7CommPlusV3 protocol.  © 2023 IEEE.</t>
  </si>
  <si>
    <t>Cyber Security; Industrial Control Systems; Replay Attacks; S7 Protocol; SIMATIC PLCs</t>
  </si>
  <si>
    <t>Cryptography; Process control; Breakings; Cyber security; Engineering software; Industrial control systems; Integrity check; Replay attack; S7 protocol; Siemens; SIMATIC; SIMATIC PLC; Cybersecurity</t>
  </si>
  <si>
    <t>Golatowski F.; Ragavan S.K.V.; Facchinetti T.; Wisniewski L.; Porta M.; Scanzio S.</t>
  </si>
  <si>
    <t>978-166546432-1</t>
  </si>
  <si>
    <t>IEEE Int. Workshop Factory Commun. Syst. Proc. WFCS</t>
  </si>
  <si>
    <t>2-s2.0-85162709620</t>
  </si>
  <si>
    <t>2025-08-01 13:05:30</t>
  </si>
  <si>
    <t xml:space="preserve">Low quality </t>
  </si>
  <si>
    <t>Alqudhaibi A.; Aloseel A.; Jagtap S.; Salonitis K.</t>
  </si>
  <si>
    <t>Alqudhaibi, Adel (58042812800); Aloseel, Abdulmohsan (57221410657); Jagtap, Sandeep (57194044006); Salonitis, Konstantinos (6507869506)</t>
  </si>
  <si>
    <t>58042812800; 57221410657; 57194044006; 6507869506</t>
  </si>
  <si>
    <t>Identifying and Predicting Cybersecurity Threats in Industry 4.0 Based on the Motivations Towards a Critical Infrastructure</t>
  </si>
  <si>
    <t>Advances in Transdisciplinary Engineering</t>
  </si>
  <si>
    <t>25</t>
  </si>
  <si>
    <t>10.3233/ATDE220599</t>
  </si>
  <si>
    <t>https://www.scopus.com/inward/record.uri?eid=2-s2.0-85145600977&amp;doi=10.3233%2fATDE220599&amp;partnerID=40&amp;md5=2a1b1a965ab8b90ab27bc295479c56ff</t>
  </si>
  <si>
    <t>School of Aerospace Transport and Manufacturing, Cranfield University, MK43 0AL, United Kingdom</t>
  </si>
  <si>
    <t>Alqudhaibi A., School of Aerospace Transport and Manufacturing, Cranfield University, MK43 0AL, United Kingdom; Aloseel A., School of Aerospace Transport and Manufacturing, Cranfield University, MK43 0AL, United Kingdom; Jagtap S., School of Aerospace Transport and Manufacturing, Cranfield University, MK43 0AL, United Kingdom; Salonitis K., School of Aerospace Transport and Manufacturing, Cranfield University, MK43 0AL, United Kingdom</t>
  </si>
  <si>
    <t>Industry 4.0 (I4.0) is an emerging concept describing the business setting application of a broad set of digitalisation technologies, connectivity, and automation. The most common critical infrastructure (CI) uses Industrial Control Systems (ICS) for operation and supervisory control. However, the Supervisory Control and Data Acquisition (SCADA) and Internet of things (IoT) systems are examples of ICSs applications. These systems, like any other systems exposed to many security risks and are vulnerable to many threats. This is mainly due to the lack of objective standards and proactive security countermeasures that companies unintentionally neglected in the early stages of designing these systems. It is also due to the absence of managerial and technical skills necessary to implement them. Therefore, identifying and preventing potential security threats against CIs is the focus of this paper. A novel security approach concept that can predict cybersecurity threats based on the CI nature and take into consideration the attack motivations accordingly has been delivered in this paper. The proposed concept of this approach will also facilitate the detection of potential attack types and the required countermeasures in particular infrastructures.  © 2022 The authors and IOS Press.</t>
  </si>
  <si>
    <t>Critical Infrastructure (CI); Cybersecurity; Digitalisation; Industry 4.0; Manufacturing; Motivations</t>
  </si>
  <si>
    <t>Critical infrastructures; Industry 4.0; Intelligent control; Internet of things; Motivation; Public works; SCADA systems; Critical infrastructure; Cyber security; Digitalization; Exposed to; Industrial control systems; Manufacturing; Operations control; Security risks; Supervisory control; Supervisory control and data acquisition; Cybersecurity</t>
  </si>
  <si>
    <t>Shafik M.; Case K.</t>
  </si>
  <si>
    <t>IOS Press BV</t>
  </si>
  <si>
    <t>2352751X</t>
  </si>
  <si>
    <t>978-164368330-0</t>
  </si>
  <si>
    <t>Adv. Transdiscipl. Eng.</t>
  </si>
  <si>
    <t>All Open Access; Gold Open Access; Green Open Access</t>
  </si>
  <si>
    <t>2-s2.0-85145600977</t>
  </si>
  <si>
    <t>2025-09-29 09:23:24</t>
  </si>
  <si>
    <t>Only Detection</t>
  </si>
  <si>
    <t>Zhang H.; Min Y.; Liu S.; Tong H.; Li Y.; Lv Z.</t>
  </si>
  <si>
    <t>Zhang, Hao (57196154855); Min, Yuandong (58084744100); Liu, Sanya (24481510400); Tong, Hang (58084670400); Li, Yaopeng (58084694900); Lv, Zhihan (55925162500)</t>
  </si>
  <si>
    <t>57196154855; 58084744100; 24481510400; 58084670400; 58084694900; 55925162500</t>
  </si>
  <si>
    <t>Improve the Security of Industrial Control System: A Fine-Grained Classification Method for DoS Attacks on Modbus/TCP</t>
  </si>
  <si>
    <t>Mobile Networks and Applications</t>
  </si>
  <si>
    <t>28</t>
  </si>
  <si>
    <t>10.1007/s11036-023-02108-8</t>
  </si>
  <si>
    <t>https://www.scopus.com/inward/record.uri?eid=2-s2.0-85149041165&amp;doi=10.1007%2fs11036-023-02108-8&amp;partnerID=40&amp;md5=e89b5e25129e01afd623b73bf767e42a</t>
  </si>
  <si>
    <t>National Engineering Laboratory for Educational Big Data, Faculty of Artificial Intelligence in Education, Central China Normal University, Hubei, Wuhan, 430079, China; Department of Game Design, Faculty of Arts, Uppsala University, Uppsala, Sweden</t>
  </si>
  <si>
    <t>Zhang H., National Engineering Laboratory for Educational Big Data, Faculty of Artificial Intelligence in Education, Central China Normal University, Hubei, Wuhan, 430079, China; Min Y., National Engineering Laboratory for Educational Big Data, Faculty of Artificial Intelligence in Education, Central China Normal University, Hubei, Wuhan, 430079, China; Liu S., National Engineering Laboratory for Educational Big Data, Faculty of Artificial Intelligence in Education, Central China Normal University, Hubei, Wuhan, 430079, China; Tong H., National Engineering Laboratory for Educational Big Data, Faculty of Artificial Intelligence in Education, Central China Normal University, Hubei, Wuhan, 430079, China; Li Y., National Engineering Laboratory for Educational Big Data, Faculty of Artificial Intelligence in Education, Central China Normal University, Hubei, Wuhan, 430079, China; Lv Z., Department of Game Design, Faculty of Arts, Uppsala University, Uppsala, Sweden</t>
  </si>
  <si>
    <t>With the rapid development of technology, more malicious traffic data brought negative influences on industrial areas. Modbus protocol plays a momentous role in the communications of Industrial Control Systems (ICS), but it’s vulnerable to Denial of Service attacks(DoS). Traditional detection methods cannot perform well on fine-grained detection tasks which could contribute to locating targets of attacks and preventing the destruction. Considering the temporal locality and high dimension of malicious traffic, this paper proposed a Neural Network architecture named MODLSTM, which consists of three parts: input preprocessing, feature recoding, and traffic classification. By virtue of the design, MODLSTM can form continuous stream semantics based on fragmented packets, discover potential low-dimensional features and finally classify traffic at a fine-grained level. To test the model’s performances, some experiments were conducted on industrial and public datasets, and the models achieved excellent performances in comparison with previous work(accuracy increased by 0.71% and 0.07% respectively). The results show that the proposed method has more satisfactory abilities to detect DoS attacks related to Modbus, compared with other works. It could help to build a reliable firewall to address a variety of malicious traffic in diverse situations, especially in industrial environments. © 2023, The Author(s), under exclusive licence to Springer Science+Business Media, LLC, part of Springer Nature.</t>
  </si>
  <si>
    <t>DDoS; Deep learning; DoS; Fine-grained classification; ICS; Modbus</t>
  </si>
  <si>
    <t>Classification (of information); Deep learning; Integrated circuits; Intelligent control; Network architecture; Network security; Semantics; Classification methods; DDoS; Deep learning; Denialof- service attacks; Fine grained; Fine-grained classification; Industrial control systems; Malicious traffic; Modbus; Performance; Denial-of-service attack</t>
  </si>
  <si>
    <t>H. Zhang; National Engineering Laboratory for Educational Big Data, Faculty of Artificial Intelligence in Education, Central China Normal University, Wuhan, Hubei, 430079, China; email: zhanghao@mail.ccnu.edu.cn</t>
  </si>
  <si>
    <t>1383469X</t>
  </si>
  <si>
    <t>Mobile Networks Appl</t>
  </si>
  <si>
    <t>2-s2.0-85149041165</t>
  </si>
  <si>
    <t>2025-10-15 08:27:48</t>
  </si>
  <si>
    <t>Threat Model, ADC attack</t>
  </si>
  <si>
    <t>Chekole E.G.; Thulasiraman R.; Zhou J.</t>
  </si>
  <si>
    <t>Chekole, Eyasu Getahun (56277813100); Thulasiraman, Rajaram (57967669700); Zhou, Jianying (35436693500)</t>
  </si>
  <si>
    <t>56277813100; 57967669700; 35436693500</t>
  </si>
  <si>
    <t>EARIC: Exploiting ADC Registers in IoT and Control Systems</t>
  </si>
  <si>
    <t>Lecture Notes in Computer Science (including subseries Lecture Notes in Artificial Intelligence and Lecture Notes in Bioinformatics)</t>
  </si>
  <si>
    <t>13907 LNCS</t>
  </si>
  <si>
    <t>10.1007/978-3-031-41181-6_14</t>
  </si>
  <si>
    <t>https://www.scopus.com/inward/record.uri?eid=2-s2.0-85174438796&amp;doi=10.1007%2f978-3-031-41181-6_14&amp;partnerID=40&amp;md5=87a161d82e3f3de6d7e05e62ce8374e7</t>
  </si>
  <si>
    <t>Singapore University of Technology and Design, Singapore, Singapore</t>
  </si>
  <si>
    <t>Chekole E.G., Singapore University of Technology and Design, Singapore, Singapore; Thulasiraman R., Singapore University of Technology and Design, Singapore, Singapore; Zhou J., Singapore University of Technology and Design, Singapore, Singapore</t>
  </si>
  <si>
    <t>An analog-to-digital converter (ADC) is a critical part of most computing systems as it converts analog signals into quantifiable digital values. Since most digital devices operate only on digital values, the ADC acts as an interface between the digital and analog worlds. Hence, ADCs are commonly used in a wide-range of application areas, such as internet of things (IoT), industrial control systems (ICS), cyber-physical systems (CPS), audio/video devices, medical imaging, digital oscilloscopes, and cell phones, among others. For example, programmable logic controllers (PLCs) in ICS/CPS often make control decisions based on digital values that are converted from analog signals by ADCs. Due to its crucial role in various applications, ADCs are often targeted by a wide-range of physical and cyber attacks. Attackers may exploit vulnerabilities that could be found in the software/hardware of ADCs. In this work, we first conduct a deeper study on the ADC conversion logic to scrutinize relevant vulnerabilities that were not well explored by prior works. Hence, we manage to identify exploitable vulnerabilities on certain ADC registers that are used in the ADC conversion process. These vulnerabilities can allow attackers to launch dangerous attacks that can disrupt the behaviour of the targeted system (e.g., an IoT or control system) in a stealthy way. As a proof of concept, we design three such attacks by exploiting the vulnerabilities identified. Finally, we test the attacks on a mini-CPS testbed we designed using IoT devices, analog sensors and actuators. Our experimental results reveal high effectiveness of the proposed attack techniques in misleading PLCs to make incorrect control decisions in CPS. We also analyze the impact of such attacks when launched in realistic CPS testbeds. © 2023, The Author(s), under exclusive license to Springer Nature Switzerland AG.</t>
  </si>
  <si>
    <t>ADC Attacks; ADC Security; ADC Vulnerabilities; CPS Security; ICS Security; IoT Security; PLC Attacks</t>
  </si>
  <si>
    <t>Analog to digital conversion; Computation theory; Computer circuits; Cyber Physical System; Cybersecurity; Embedded systems; Internet of things; Medical imaging; Network security; Testbeds; Analog to digital converters; Analog-to-digital converter attack; Analog-to-digital converter security; Analog-to-digital converter vulnerability; Control system security; Cyber-physical system securities; Industrial control system security; Industrial control systems; Internet of thing security; Programmable logic controller attack; Programmable logic controllers</t>
  </si>
  <si>
    <t>E.G. Chekole; Singapore University of Technology and Design, Singapore, Singapore; email: eyasu_chekole@sutd.edu.sg</t>
  </si>
  <si>
    <t>Zhou J.; Batina L.; Picek S.; Li Z.; Lin J.; Losiouk E.; Majumdar S.; Mashima D.; Meng W.; Rahman M.A.; Shao J.; Shimaoka M.; Soremekun E.; Su C.; Teh J.S.; Udovenko A.; Wang C.; Zhang L.; Zhauniarovich Y.</t>
  </si>
  <si>
    <t>03029743</t>
  </si>
  <si>
    <t>978-303141180-9</t>
  </si>
  <si>
    <t>Lect. Notes Comput. Sci.</t>
  </si>
  <si>
    <t>2-s2.0-85174438796</t>
  </si>
  <si>
    <t>2025-10-01 14:37:57</t>
  </si>
  <si>
    <t>Contains Threats, Modbus/TCP</t>
  </si>
  <si>
    <t>Rahman A.; Mustafa G.; Khan A.Q.; Abid M.; Durad M.H.</t>
  </si>
  <si>
    <t>Rahman, Ayesha (57912260100); Mustafa, Ghulam (57226263062); Khan, Abdul Qayyum (10040299600); Abid, Muhammad (57615720500); Durad, Muhammad Hanif (35611029500)</t>
  </si>
  <si>
    <t>57912260100; 57226263062; 10040299600; 57615720500; 35611029500</t>
  </si>
  <si>
    <t>Launch of denial of service attacks on the modbus/TCP protocol and development of its protection mechanisms</t>
  </si>
  <si>
    <t>39</t>
  </si>
  <si>
    <t>100568</t>
  </si>
  <si>
    <t>10.1016/j.ijcip.2022.100568</t>
  </si>
  <si>
    <t>https://www.scopus.com/inward/record.uri?eid=2-s2.0-85139048860&amp;doi=10.1016%2fj.ijcip.2022.100568&amp;partnerID=40&amp;md5=0ead64a84f64e523be82f2ad05f69141</t>
  </si>
  <si>
    <t>Department of Computer and Information Sciences, Pakistan Institute of Engineering and Applied Sciences (PIEAS), P.O. Nilore, Islamabad, 45650, Pakistan; Department of Electrical Engineering, Pakistan Institute of Engineering and Applied Sciences (PIEAS), P.O. Nilore, Islamabad, 45650, Pakistan</t>
  </si>
  <si>
    <t>Rahman A., Department of Computer and Information Sciences, Pakistan Institute of Engineering and Applied Sciences (PIEAS), P.O. Nilore, Islamabad, 45650, Pakistan; Mustafa G., Department of Electrical Engineering, Pakistan Institute of Engineering and Applied Sciences (PIEAS), P.O. Nilore, Islamabad, 45650, Pakistan; Khan A.Q., Department of Electrical Engineering, Pakistan Institute of Engineering and Applied Sciences (PIEAS), P.O. Nilore, Islamabad, 45650, Pakistan; Abid M., Department of Electrical Engineering, Pakistan Institute of Engineering and Applied Sciences (PIEAS), P.O. Nilore, Islamabad, 45650, Pakistan; Durad M.H., Department of Computer and Information Sciences, Pakistan Institute of Engineering and Applied Sciences (PIEAS), P.O. Nilore, Islamabad, 45650, Pakistan</t>
  </si>
  <si>
    <t>Modbus is considered the defacto standard of industrial control systems as obvious from the fact that most vendors in the automation industry support Modbus protocol. Despite its wide popularity, Modbus is not secure because the time period in which it was introduced security was not considered to be a concern for closed isolated Industrial Control Systems (ICS) systems, therefore, in today's era of internet, Modbus protocol cannot withstand malicious cyber attacks that the normal IT network is exposed to. Among the various attacks launched on ICS, the Denial of Service (DoS) attack is of prime importance as it has a fatal impact on the control systems’ stability and operation specially where hard real-time communication is essential. In this paper, we perform an extensive research on the documented and reported vulnerabilities in the Modbus protocol, and also review various efforts on how to exploit those vulnerabilities. After the thorough and exhaustive research, we have designed a virtual testbed that simulates the real world industrial control systems to conduct research on exploitation of the found vulnerabilities. The testbed is employed to successfully conduct two Denial of service attack scenarios on the software simulation of a programmable logic controller. The results of the launched attacks are evaluated in an attempt to perform attack-impact analysis and their findings are discussed in this paper. Lastly, a few prevention techniques are discussed that enlist how to avoid and protect systems against these attacks. © 2022 Elsevier B.V.</t>
  </si>
  <si>
    <t>Cyber attack; Denial-of-service; Human–machine interface; Industrial control systems; Modbus vulnerabilities</t>
  </si>
  <si>
    <t>Cyber attacks; Industrial research; Network security; Real time systems; Testbeds; Cyber-attacks; De facto standard; Denial of Service; Denialof- service attacks; Human Machine Interface; Industrial control systems; Modbus protocol; Modbus vulnerability; Protection mechanisms; TCP protocol; Denial-of-service attack</t>
  </si>
  <si>
    <t>A. Rahman; Department of Computer and Information Sciences, Pakistan Institute of Engineering and Applied Sciences (PIEAS), Islamabad, P.O. Nilore, 45650, Pakistan; email: 14besearahman@seecs.edu.pk</t>
  </si>
  <si>
    <t>2-s2.0-85139048860</t>
  </si>
  <si>
    <t>2025-07-22 10:15:20</t>
  </si>
  <si>
    <t>Security Assessment Methodology, OPCUA</t>
  </si>
  <si>
    <t>Erba A.; Müller A.; Tippenhauer N.O.</t>
  </si>
  <si>
    <t>Erba, Alessandro (57219505735); Müller, Anne (57223741088); Tippenhauer, Nils Ole (35106192100)</t>
  </si>
  <si>
    <t>57219505735; 57223741088; 35106192100</t>
  </si>
  <si>
    <t>Security Analysis of Vendor Implementations of the OPC UA Protocol for Industrial Control Systems</t>
  </si>
  <si>
    <t>CPSIoTSec 2022 - Proceedings of the 4th Workshop on CPS and IoT Security and Privacy, co-located with CCS 2022</t>
  </si>
  <si>
    <t>10.1145/3560826.3563380</t>
  </si>
  <si>
    <t>https://www.scopus.com/inward/record.uri?eid=2-s2.0-85144815638&amp;doi=10.1145%2f3560826.3563380&amp;partnerID=40&amp;md5=44e80af3f43f363c2fdf78d99d020a46</t>
  </si>
  <si>
    <t>CISPA Helmholtz Center for Information Security, Saarbrücken Graduate School of Computer Science, Saarland University, Saarbrücken, Germany</t>
  </si>
  <si>
    <t>Erba A., CISPA Helmholtz Center for Information Security, Saarbrücken Graduate School of Computer Science, Saarland University, Saarbrücken, Germany; Müller A., CISPA Helmholtz Center for Information Security, Saarbrücken Graduate School of Computer Science, Saarland University, Saarbrücken, Germany; Tippenhauer N.O., CISPA Helmholtz Center for Information Security, Saarbrücken Graduate School of Computer Science, Saarland University, Saarbrücken, Germany</t>
  </si>
  <si>
    <t>The OPC UA protocol is an upcoming de-facto standard for building Industry 4.0 processes in Europe, and one of the few industrial protocols that promises security features to prevent attackers from manipulating and damaging critical infrastructures. Despite the importance of the protocol, challenges in the adoption of OPC UA's security features by product vendors, libraries implementing the standard, and end-users were not investigated so far. In this work, we systematically investigate 48 publicly available artifacts consisting of products and libraries for OPC UA and show that 38 out of the 48 artifacts have one (or more) security issues. We show that 7 OPC UA artifacts do not support the security features of the protocol at all. In addition, 31 artifacts that partially feature OPC UA security rely on incomplete libraries and come with misleading instructions. Consequently, relying on those products and libraries will result in vulnerable implementations of OPC UA security features. To verify our analysis, we design, implement, and demonstrate attacks in which the attacker can steal credentials exchanged between victims, eavesdrop on process information, manipulate the physical process through sensor values and actuator commands, and prevent the detection of anomalies.  © 2022 ACM.</t>
  </si>
  <si>
    <t>attacks; key management; opc ua; security analysis</t>
  </si>
  <si>
    <t>Construction industry; Libraries; Attack; Building industry; De facto standard; Industrial control systems; Industrial protocols; Key-management; Opc ua; Product vendors; Security analysis; Security features; Security systems</t>
  </si>
  <si>
    <t>978-145039876-3</t>
  </si>
  <si>
    <t>CPSIoTSec - Proc. Workshop CPS IoT Secur. Privacy, co-located CCS</t>
  </si>
  <si>
    <t>All Open Access; Green Open Access</t>
  </si>
  <si>
    <t>2-s2.0-85144815638</t>
  </si>
  <si>
    <t>2025-09-29 09:46:44</t>
  </si>
  <si>
    <t>Gowdanakatte S.; Ray I.; Hilde Houmb S.</t>
  </si>
  <si>
    <t>Gowdanakatte, Shwetha (57679618800); Ray, Indrakshi (58830606300); Hilde Houmb, Siv (6506301374)</t>
  </si>
  <si>
    <t>57679618800; 58830606300; 6506301374</t>
  </si>
  <si>
    <t>Attribute Based Access Control Model for Protecting Programmable Logic Controllers</t>
  </si>
  <si>
    <t>SaT-CPS 2022 - Proceedings of the 2022 ACM Workshop on Secure and Trustworthy Cyber-Physical Systems</t>
  </si>
  <si>
    <t>10.1145/3510547.3517926</t>
  </si>
  <si>
    <t>https://www.scopus.com/inward/record.uri?eid=2-s2.0-85129814916&amp;doi=10.1145%2f3510547.3517926&amp;partnerID=40&amp;md5=8b98870c9666f2f709081eabec49446d</t>
  </si>
  <si>
    <t>Colorado State University, Fort Collins, United States; Norwegian University of Science and Technology, Oslo, Norway</t>
  </si>
  <si>
    <t>Gowdanakatte S., Colorado State University, Fort Collins, United States; Ray I., Colorado State University, Fort Collins, United States; Hilde Houmb S., Norwegian University of Science and Technology, Oslo, Norway</t>
  </si>
  <si>
    <t>Industrial Control Systems (ICS) were traditionally designed as stand-alone systems and isolated from Internet Technology (IT) networks. With the advancement in communication technology, the attack surface has increased; vulnerabilities in ICS components such as Programmable Logic Controllers (PLC), and Human Machine Interfaces (HMI) can now be accessed and exploited. Authentication and access control form the first level of defense for protecting ICS from attacks. Unfortunately, vulnerabilities stemming from improper authentication and access control are very common. We focus our attention to investigate these vulnerabilities, specifically those centered around PLCs, and demonstrate how the use of Attribute-Based Access Control (ABAC) helps protect against them and make ICS more resilient to attacks. We design an ABAC model for PLC, show how it can be enforced, analyze the resulting system and demonstrate their resilience against some sample vulnerabilities. © 2022 ACM.</t>
  </si>
  <si>
    <t>Attribute-based access control (abac); Cybersecurity; Human machine interface (hmi); Industrial control systems (ics); Programmable logic controller (plc); Role based access control (rbac); supervisory control and data acquisition (scada)</t>
  </si>
  <si>
    <t>Authentication; Computer circuits; Cybersecurity; Machine components; Man machine systems; Programmable logic controllers; Programmed control systems; SCADA systems; Attribute based access control; Attribute-based access control; Cyber security; Human machine interface; Industrial control system; Industrial control systems; Logic controller; Programmable logic; Programmable logic controller; Role based access control; Role-based Access Control; Supervisory control and data acquisition; Controllers</t>
  </si>
  <si>
    <t>978-145039229-7</t>
  </si>
  <si>
    <t>SaT-CPS - Proc. ACM Workshop Secure Trustworthy Cyber-Phys. Syst.</t>
  </si>
  <si>
    <t>2-s2.0-85129814916</t>
  </si>
  <si>
    <t>2025-09-29 10:26:40</t>
  </si>
  <si>
    <t>Zubair N.; Ayub A.; Yoo H.; Ahmed I.</t>
  </si>
  <si>
    <t>Zubair, Nauman (57544360200); Ayub, Adeen (57226826851); Yoo, Hyunguk (55676163600); Ahmed, Irfan (57202619773)</t>
  </si>
  <si>
    <t>57544360200; 57226826851; 55676163600; 57202619773</t>
  </si>
  <si>
    <t>PEM: Remote forensic acquisition of PLC memory in industrial control systems</t>
  </si>
  <si>
    <t>Forensic Science International: Digital Investigation</t>
  </si>
  <si>
    <t>40</t>
  </si>
  <si>
    <t>301336</t>
  </si>
  <si>
    <t>10.1016/j.fsidi.2022.301336</t>
  </si>
  <si>
    <t>https://www.scopus.com/inward/record.uri?eid=2-s2.0-85126836544&amp;doi=10.1016%2fj.fsidi.2022.301336&amp;partnerID=40&amp;md5=4059c1abc8eda11d36c9e405880e3b65</t>
  </si>
  <si>
    <t>University of New Orleans, New Orleans, 70 148, LA, United States; Virginia Commonwealth University, Richmond, 23 284, VA, United States</t>
  </si>
  <si>
    <t>Zubair N., University of New Orleans, New Orleans, 70 148, LA, United States; Ayub A., Virginia Commonwealth University, Richmond, 23 284, VA, United States; Yoo H., University of New Orleans, New Orleans, 70 148, LA, United States; Ahmed I., Virginia Commonwealth University, Richmond, 23 284, VA, United States</t>
  </si>
  <si>
    <t>Programmable logic controllers (PLC) are special-purpose embedded devices used in various industries for automatic control of physical processes. Cyberattacks on PLCs can unleash mayhem in the physical world. In case of a security breach, volatile memory acquisition is critical in investigating the attack since it provides unique insights into the runtime system activities and memory-based artifacts. However, existing memory acquisition methods for PLCs (i.e., using a hardware-level debugging port and network protocol-based approaches) are either inapplicable in real-world forensic investigations (due to requiring disassembling of a suspect PLC or power cycling) or incomplete (i.e., acquire only partial memory contents). This paper proposes a new memory acquisition framework to remotely acquire a PLC's volatile memory while the PLC is controlling a physical process. The main idea is to inject a harmless memory duplicator into the running control logic of a PLC to copy local memory contents into a protocol-mapped address space, which is then readable over a network. We also present a new control-logic attack that targets in-memory firmware to compromise a PLC's built-in system functions. Since PEM can acquire the entire PLC memory, we show that its memory dump contains evidence of this attack. Further, we present a case study on a gas pipeline testbed to demonstrate the effectiveness of the attack on a physical process and how PEM plays its role in effectively identifying the attack and other important forensic artifacts such as the control logic of a PLC. © 2022 The Authors</t>
  </si>
  <si>
    <t>Control-logic attacks; Industrial control systems; Memory forensics; Programmable logic controllers</t>
  </si>
  <si>
    <t>Automation; Computer circuits; Computer forensics; Controllers; Firmware; Internet protocols; Malware; Mergers and acquisitions; Process control; Programmed control systems; Control logic; Control-logic attack; Embedded device; Forensic acquisition; Industrial control systems; Logic attacks; Memory acquisitions; Memory forensics; Physical process; Remote forensics; Programmable logic controllers</t>
  </si>
  <si>
    <t>H. Yoo; University of New Orleans, New Orleans, 70 148, United States; email: hyoo1@uno.edu; I. Ahmed; Virginia Commonwealth University, Richmond, 23 284, United States; email: iahmed3@vcu.edu</t>
  </si>
  <si>
    <t>26662825</t>
  </si>
  <si>
    <t>For. Sci. Int: Dig. Investigation</t>
  </si>
  <si>
    <t>2-s2.0-85126836544</t>
  </si>
  <si>
    <t>2025-09-29 12:12:49</t>
  </si>
  <si>
    <t>ContainsThreats: Modbus</t>
  </si>
  <si>
    <t>Sinha A.; Patel S.S.; Kumar A.; Vyas O.P.</t>
  </si>
  <si>
    <t>Sinha, Ayush (57216694977); Patel, Saurabh Singh (57486157800); Kumar, Abhishek (56152297700); Vyas, O.P. (8876697200)</t>
  </si>
  <si>
    <t>57216694977; 57486157800; 56152297700; 8876697200</t>
  </si>
  <si>
    <t>Exploiting Vulnerabilities in the SCADA Modbus Protocol: An ICT-Reliant Perspective</t>
  </si>
  <si>
    <t>Communications in Computer and Information Science</t>
  </si>
  <si>
    <t>1534 CCIS</t>
  </si>
  <si>
    <t>10.1007/978-3-030-96040-7_8</t>
  </si>
  <si>
    <t>https://www.scopus.com/inward/record.uri?eid=2-s2.0-85126206933&amp;doi=10.1007%2f978-3-030-96040-7_8&amp;partnerID=40&amp;md5=4c58953fa77779454514a8ffbfb19161</t>
  </si>
  <si>
    <t>Department of IT, Indian Institute of Information Technology, Allahbad, Prayagraj, India</t>
  </si>
  <si>
    <t>Sinha A., Department of IT, Indian Institute of Information Technology, Allahbad, Prayagraj, India; Patel S.S., Department of IT, Indian Institute of Information Technology, Allahbad, Prayagraj, India; Kumar A., Department of IT, Indian Institute of Information Technology, Allahbad, Prayagraj, India; Vyas O.P., Department of IT, Indian Institute of Information Technology, Allahbad, Prayagraj, India</t>
  </si>
  <si>
    <t>Industrial plants like power, gas, water, and transport are controlled remotely and managed by a protocol like Modbus-TCP which has a significant contribution towards Industrial Control systems (ICS) and Supervisory control and data acquisition (SCADA) systems. In the previous years, occurrences of cyber-attacks influenced the SCADA structures and their associated protocols though few in numbers but lethal. The attack may affect the confidentiality and integrity of the Modbus/TCP module and unauthorized control of coils and registers has the potential for appalling conditions in some unacceptable situations. The proposed work investigates the security of an industrial framework utilizing the Modbus transmission convention in an ICS to build up a particular security test framework for the discovery attack, Man in the middle (MIMT) attack, Denial of Service (DoS), and Metasploit attack. This work focuses to execute the attack results and show the interaction in the virtual climate of Conpot and Rapid SCADA and presents an analysis using CVSS 3.1 score to compare the Metasploit, DOS, MITM in terms of vulnerabilities and threat levels. Finally, the severity of ease of happening for different attacks is mentioned as a conclusion of this study. © 2022, Springer Nature Switzerland AG.</t>
  </si>
  <si>
    <t>Attack detection; CVSS score; Modbus-TCP; SCADA; SCADA vulnerability</t>
  </si>
  <si>
    <t>Cybersecurity; Denial-of-service attack; Gas plants; Intelligent control; Network security; SCADA systems; Attack detection; CVSS score; Gas-water; Industrial control systems; Modbus protocol; Modbus-TCP; Power; Supervisory control and data acquisition; Supervisory control and data acquisition vulnerability; Transmission control protocol</t>
  </si>
  <si>
    <t>A. Sinha; Department of IT, Indian Institute of Information Technology, Allahbad, Prayagraj, India; email: pro.ayush@iiita.ac.in</t>
  </si>
  <si>
    <t>Woungang I.; Dhurandher S.K.; Pattanaik K.K.; Verma A.; Verma P.</t>
  </si>
  <si>
    <t>18650929</t>
  </si>
  <si>
    <t>978-303096039-1</t>
  </si>
  <si>
    <t>Commun. Comput. Info. Sci.</t>
  </si>
  <si>
    <t>2-s2.0-85126206933</t>
  </si>
  <si>
    <t>2025-07-22 10:17:41</t>
  </si>
  <si>
    <t>?</t>
  </si>
  <si>
    <t>Kelli V.; Radoglou-Grammatikis P.; Lagkas T.; Markakis E.K.; Sarigiannidis P.</t>
  </si>
  <si>
    <t>Kelli, Vasiliki (57271293400); Radoglou-Grammatikis, Panagiotis (57195135180); Lagkas, Thomas (6507945237); Markakis, Evangelos K. (7006033121); Sarigiannidis, Panagiotis (12445587500)</t>
  </si>
  <si>
    <t>57271293400; 57195135180; 6507945237; 7006033121; 12445587500</t>
  </si>
  <si>
    <t>Risk Analysis of DNP3 Attacks</t>
  </si>
  <si>
    <t>Proceedings of the 2022 IEEE International Conference on Cyber Security and Resilience, CSR 2022</t>
  </si>
  <si>
    <t>10.1109/CSR54599.2022.9850291</t>
  </si>
  <si>
    <t>https://www.scopus.com/inward/record.uri?eid=2-s2.0-85137345877&amp;doi=10.1109%2fCSR54599.2022.9850291&amp;partnerID=40&amp;md5=7a7de2f664e93ff7b595f1113252cb41</t>
  </si>
  <si>
    <t>University of Western Macedonia, Dpt. of Electrical &amp; Computer Engineering, Kozani, 50100, Greece; International Hellenic University, Dpt. of Computer Science, 65404, Greece; Hellenic Mediterranean University, Dpt. of Electrical &amp; Computer Engineering, Heraklion, 71004, Greece</t>
  </si>
  <si>
    <t>Kelli V., University of Western Macedonia, Dpt. of Electrical &amp; Computer Engineering, Kozani, 50100, Greece; Radoglou-Grammatikis P., University of Western Macedonia, Dpt. of Electrical &amp; Computer Engineering, Kozani, 50100, Greece; Lagkas T., International Hellenic University, Dpt. of Computer Science, 65404, Greece; Markakis E.K., Hellenic Mediterranean University, Dpt. of Electrical &amp; Computer Engineering, Heraklion, 71004, Greece; Sarigiannidis P., University of Western Macedonia, Dpt. of Electrical &amp; Computer Engineering, Kozani, 50100, Greece</t>
  </si>
  <si>
    <t>The integration of intelligent devices in the industry allows the automation and control of industrial processes, in an efficient and effective manner. Such systems have contributed to the rapid evolution of production infrastructures, increasing the reliability, reducing production costs, and automating the entire manufacturing operations. However, the utilization of intelligent devices has led to an increased attack surface in critical infrastructures, threatening to compromise regular operations. Attacks against such environments can have disastrous consequences in case their goal is achieved, due to the critical nature of such infrastructures. Thus, the timely identification of vulnerable spots through high-quality risk assessment, is considered highly important for avoiding or mitigating potential risks. In this paper, we focus on Distributed Network Protocol 3 (DNP3), a protocol with high utility in smart grids. Specifically, we investigate, identify and describe the vulnerabilities-by-design of DNP3 through 8 DNP3-centered cyberattacks. In addition, we present a novel method for conducting risk assessment, stemming from the combination of two techniques, namely, Attack Defence Trees (ADTs) and Common Vulnerability Scoring System v3.1 (CVSS). Through our proposed technique, the risk of a cyberattack occurring is calculated, thus contributing in securing the critical infrastructure.  © 2022 IEEE.</t>
  </si>
  <si>
    <t>Cybersecurity; DNP3; ICS; Risk Analysis; SCADA</t>
  </si>
  <si>
    <t>Costs; Critical infrastructures; Cybersecurity; Integrated circuits; Manufacture; Network protocols; Network security; Public works; Risk assessment; Automation and controls; Cyber security; Cyber-attacks; Distributed network protocol 3; Distributed network protocols; ICS; Industrial processs; Intelligent devices; Risks assessments; SCADA; Risk analysis</t>
  </si>
  <si>
    <t>978-166549952-1</t>
  </si>
  <si>
    <t>Proc. IEEE Int. Conf. Cyber Secur. Resil., CSR</t>
  </si>
  <si>
    <t>2-s2.0-85137345877</t>
  </si>
  <si>
    <t>2025-07-21 20:39:20</t>
  </si>
  <si>
    <t>Zhang H.; Min Y.; Liu S.; Tong H.; Li Y.</t>
  </si>
  <si>
    <t>Zhang, Hao (57196154855); Min, Yuandong (58084744100); Liu, Sanya (24481510400); Tong, Hang (58084670400); Li, Yaopeng (58084694900)</t>
  </si>
  <si>
    <t>57196154855; 58084744100; 24481510400; 58084670400; 58084694900</t>
  </si>
  <si>
    <t>MODLSTM: A Method to Recognize DoS Attacks on Modbus/TCP</t>
  </si>
  <si>
    <t>Conference Proceedings of the IEEE International Performance, Computing, and Communications Conference</t>
  </si>
  <si>
    <t>2022-November</t>
  </si>
  <si>
    <t>10.1109/IPCCC55026.2022.9894305</t>
  </si>
  <si>
    <t>https://www.scopus.com/inward/record.uri?eid=2-s2.0-85147139999&amp;doi=10.1109%2fIPCCC55026.2022.9894305&amp;partnerID=40&amp;md5=eeb8194d7539d814bcce4e2867f61975</t>
  </si>
  <si>
    <t>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t>
  </si>
  <si>
    <t>Zhang H.,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Min Y.,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Liu S.,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Tong H.,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Li Y.,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t>
  </si>
  <si>
    <t>With the rapid development of technology, the scale of traffics in industrial control networks is increasing day by day. More malicious traffics brought terrible impacts on industrial areas. Modbus plays a momentous role in the communications of Industrial Control Systems (ICS), but it's vulnerable to Denial of Service attacks(DoS). Traditional methods cannot perform well on fine-grained detection tasks which could contribute to locating targets of DoS and preventing the destruction. Considering the temporal locality and high dimension of malicious traffic, we proposed a Neural Network architecture named MODLSTM, which consists of three parts: input preprocessing, feature recoding, and traffic classification. By virtue of the design, MODLSTM can perform high-precision identification and fine-grained classification of DOS attacks in the Modbus/TCP-based system. To test our model's performances, we conducted experiments on our traffic dataset collected from the industrial control network, and the models achieved excellent performances in comparison with previous work(accuracy increased by 0.74%). The results show that our proposed method has satisfactory abilities to detect DoS attacks related to Modbus, it could help to build a reliable firewall to address the DoS traffic in industrial environments  © 2022 IEEE.</t>
  </si>
  <si>
    <t>Deep Learning; DoS; Fine-grained Classification; Modbus</t>
  </si>
  <si>
    <t>Deep learning; Intelligent control; Network architecture; Statistical tests; Control network; Deep learning; Denialof- service attacks; Fine grained; Fine-grained classification; Industrial area; Industrial control systems; Industrial controls; Malicious traffic; Modbus; Denial-of-service attack</t>
  </si>
  <si>
    <t>H. Zhang; National Engineering Research Center for E-Learning, Faculty of Artificial Intelligence in Education, Central China Normal University, Wuhan, 430079, China; email: zhanghao@mail.ccnu.edu.cn</t>
  </si>
  <si>
    <t>10972641</t>
  </si>
  <si>
    <t>978-166548019-2</t>
  </si>
  <si>
    <t>Conf. Proc. IEEE Int. Perform. Comput. Commun. Conf.</t>
  </si>
  <si>
    <t>2-s2.0-85147139999</t>
  </si>
  <si>
    <t>2025-10-15 08:27:22</t>
  </si>
  <si>
    <t>ContainsThreats</t>
  </si>
  <si>
    <t>Hui H.; McLaughlin K.; Sezer S.</t>
  </si>
  <si>
    <t>Hui, Henry (57268371100); McLaughlin, Kieran (36604899500); Sezer, Sakir (7004935772)</t>
  </si>
  <si>
    <t>57268371100; 36604899500; 7004935772</t>
  </si>
  <si>
    <t>Vulnerability analysis of S7 PLCs: Manipulating the security mechanism</t>
  </si>
  <si>
    <t>35</t>
  </si>
  <si>
    <t>100470</t>
  </si>
  <si>
    <t>10.1016/j.ijcip.2021.100470</t>
  </si>
  <si>
    <t>https://www.scopus.com/inward/record.uri?eid=2-s2.0-85115380710&amp;doi=10.1016%2fj.ijcip.2021.100470&amp;partnerID=40&amp;md5=6316d2b646baa0426cb8e36715db3003</t>
  </si>
  <si>
    <t>Centre for Secure Information Technology, Queen's University Belfast, BT3 9DT, Belfast, United Kingdom</t>
  </si>
  <si>
    <t>Hui H., Centre for Secure Information Technology, Queen's University Belfast, BT3 9DT, Belfast, United Kingdom; McLaughlin K., Centre for Secure Information Technology, Queen's University Belfast, BT3 9DT, Belfast, United Kingdom; Sezer S., Centre for Secure Information Technology, Queen's University Belfast, BT3 9DT, Belfast, United Kingdom</t>
  </si>
  <si>
    <t>Programmable Logic Controllers (PLCs) are the point of interaction between the cyber and physical world, and thus have been the target of previous cyber-attacks that caused physical disruption. To understand the effectiveness of state-of-the-art security mechanisms built into these devices, this paper presents an in-depth analysis performed on the Siemens PLC environment, particularly the communication protocol known as S7CommPlus. This protocol enables communication between Siemens endpoints such as TIA Portal (the engineering software from the vendor), and PLCs like the S7–1211C, which has been used for experiments in the work. The analysis utilises the tools WinDbg and Scapy. The anti-replay mechanism, used in the protocol is investigated, including the identification of specific bytes necessary to craft valid network packets. Novel exploits, including the manipulation of cryptographic keys, are identified based on experimental analysis. Subsequently, exploits are demonstrated that enable the stealing of an existing communication session, denying the ability of an engineer to configure a PLC, making unauthorised changes to PLC states, and other potential violations of integrity and availability. The problems that lead to these exploits are also discussed and a number of potential mitigation strategies are proposed. © 2021</t>
  </si>
  <si>
    <t>Anti-replay mechanism; Cyber-physical systems security; Industrial control systems; PLC; Programmable logic controllers</t>
  </si>
  <si>
    <t>Computer circuits; Cyber Physical System; Embedded systems; Network security; Programmable logic controllers; Programmed control systems; Anti-replay mechanism; Communications protocols; Cybe-physical system security; In-depth analysis; Industrial control systems; Physical world; Security mechanism; Siemens; State of the art; Vulnerability analysis; Controllers</t>
  </si>
  <si>
    <t>H. Hui; Centre for Secure Information Technology, Queen's University Belfast, BT3 9DT, United Kingdom; email: hhui01@qub.ac.uk</t>
  </si>
  <si>
    <t>2-s2.0-85115380710</t>
  </si>
  <si>
    <t>2025-09-29 09:48:54</t>
  </si>
  <si>
    <t>Serhane A.; Raad R.; Susilo W.; Raad M.</t>
  </si>
  <si>
    <t>Serhane, Abraham (57201398922); Raad, Raad (14422842800); Susilo, Willy (6602119732); Raad, Mohamad (55853578100)</t>
  </si>
  <si>
    <t>57201398922; 14422842800; 6602119732; 55853578100</t>
  </si>
  <si>
    <t>Applied methods to detect and prevent vulnerabilities within PLC alarms code</t>
  </si>
  <si>
    <t>SN Applied Sciences</t>
  </si>
  <si>
    <t>127</t>
  </si>
  <si>
    <t>10.1007/s42452-022-05019-7</t>
  </si>
  <si>
    <t>https://www.scopus.com/inward/record.uri?eid=2-s2.0-85127518161&amp;doi=10.1007%2fs42452-022-05019-7&amp;partnerID=40&amp;md5=68b44a9237347b9a64a6ba0c34111973</t>
  </si>
  <si>
    <t>School of Electrical, Computer and Telecommunications Engineering, University of Wollongong, Wollongong, 2522, NSW, Australia; School of Computer and Communications Engineering, Lebanese International University, Mazraa, Beirut, 146404, Lebanon</t>
  </si>
  <si>
    <t>Serhane A., School of Electrical, Computer and Telecommunications Engineering, University of Wollongong, Wollongong, 2522, NSW, Australia; Raad R., School of Electrical, Computer and Telecommunications Engineering, University of Wollongong, Wollongong, 2522, NSW, Australia; Susilo W., School of Electrical, Computer and Telecommunications Engineering, University of Wollongong, Wollongong, 2522, NSW, Australia; Raad M., School of Computer and Communications Engineering, Lebanese International University, Mazraa, Beirut, 146404, Lebanon</t>
  </si>
  <si>
    <t>Abstract: Adversaries may target alerting alarms raised by PLCs (Programmable Logic Controllers) to prevent notifying operators of critical conditions, to hide faults, to disrupt operations, to cause damages to ICS (Industrial Control Systems) and surrounding environment, or to lead to financial loss. The paper focuses on exposing vulnerabilities of the ladder logic code that handles the alerting alarm messages and how to mitigate them. A real-time test bed of a PLC alarms code was developed and used to conduct several stealthy attack techniques to suppress or hinder alarms by exploiting code vulnerabilities. A novel ladder logic solution that consists of countermeasures against the introduced attacks was proposed, demonstrated, and tested. The countermeasure techniques, such as scan time and heartbeat techniques, were able to detect and prevent the code vulnerabilities and other abnormalities. The provided countermeasure techniques in this experiment could be applied to any PLC to enhance the validity and security of its PLC alarms code. Article Highlights: Four stealthy attack models were introduced to exploit PLC alarms code. They were embedded to skip, delete, fake out, or delay alerting alarms.Real-time countermeasure solutions with different techniques were introduced: scan time code, heartbeat code, and physical plausibility check. They effectively detected and prevented the introduced attack models.PLC alarms Code general abnormalities was validated and detected using scan time techniques.A list of general best code practices for PLC alarms code was introduced to mitigate code vulnerabilities. © 2022, The Author(s).</t>
  </si>
  <si>
    <t>(ICS); Alerting messages; Cyber security; Detection of alarms code threats and abnormalities; Faults detection; Human machine interface (HMI); ICS diagnostics; Ladder logic code vulnerabilities; Maintenance responses and errors; PLC Cycle; Scan time; Supervisory control and data acquisition (SCADA); Suppressed PLC alarms</t>
  </si>
  <si>
    <t>Abstracting; Codes (symbols); Computer circuits; Cybersecurity; Data acquisition; Ladders; Losses; Programmable logic controllers; (industrial control system); Alerting message; Cyber security; Detection of alarm code threat and abnormality; Faults detection; Human machine interface; Industrial control system diagnostic; Industrial control systems; Ladder logic; Ladder logic code vulnerability; Logic codes; Maintenance response and error; Programmable logic controller cycle; Scan time; Supervisory control and data acquisition; Suppressed programmable logic controller alarm; System diagnostics; Alarm systems</t>
  </si>
  <si>
    <t>A. Serhane; School of Electrical, Computer and Telecommunications Engineering, University of Wollongong, Wollongong, 2522, Australia; email: as254@uowmail.edu.au</t>
  </si>
  <si>
    <t>Springer Nature</t>
  </si>
  <si>
    <t>25233971</t>
  </si>
  <si>
    <t>SN Appl. Sci.</t>
  </si>
  <si>
    <t>2-s2.0-85127518161</t>
  </si>
  <si>
    <t>2025-10-01 14:40:32</t>
  </si>
  <si>
    <t>Urooj B.; Ullah U.; Shah M.A.; Sikandar H.S.; Stanikzai A.Q.</t>
  </si>
  <si>
    <t>Urooj, Beenish (57381448300); Ullah, Ubaid (57212201619); Shah, Munam Ali (36816311600); Sikandar, Hira Shahzadi (57951349800); Stanikzai, Abdul Qarib (57477612700)</t>
  </si>
  <si>
    <t>57381448300; 57212201619; 36816311600; 57951349800; 57477612700</t>
  </si>
  <si>
    <t>Risk Assessment of SCADA Cyber Attack Methods: A Technical Review on Securing Automated Real-time SCADA Systems</t>
  </si>
  <si>
    <t>2022 27th International Conference on Automation and Computing: Smart Systems and Manufacturing, ICAC 2022</t>
  </si>
  <si>
    <t>10.1109/ICAC55051.2022.9911122</t>
  </si>
  <si>
    <t>https://www.scopus.com/inward/record.uri?eid=2-s2.0-85141169856&amp;doi=10.1109%2fICAC55051.2022.9911122&amp;partnerID=40&amp;md5=6c3404a7931e15af859e00129158d856</t>
  </si>
  <si>
    <t>COMSATS University, Department of Computer Science, Islamabad, Pakistan; COMSATS University, Department of Civil Engineering, Islamabad, Pakistan</t>
  </si>
  <si>
    <t>Urooj B., COMSATS University, Department of Computer Science, Islamabad, Pakistan; Ullah U., COMSATS University, Department of Civil Engineering, Islamabad, Pakistan; Shah M.A., COMSATS University, Department of Computer Science, Islamabad, Pakistan; Sikandar H.S., COMSATS University, Department of Computer Science, Islamabad, Pakistan; Stanikzai A.Q., COMSATS University, Department of Computer Science, Islamabad, Pakistan</t>
  </si>
  <si>
    <t>The world's most important industrial economy is particularly vulnerable to both external and internal threats, such as the one uncovered in Supervisory Control and Data Acquisition (SCADA) and Industrial Control Systems (ICS). Upon those systems, the success criteria for security are quite dynamic. Security flaws in these automated SCADA systems have already been discovered by infiltrating the entire network in addition to reducing production line hazards. The objective of our review article is to show various potential future research voids that recent studies have, as well as how many methods are available to concentrate on specific aspects of risk assessment of manufactured systems. The state-of-the-art methods in cyber security risk assessment of SCADA systems are reviewed and compared in this research. Multiple contemporary risk assessment approaches developed for or deployed in the settings of a SCADA system are considered and examined in detail. We outline the approaches' main points before analyzing them in terms of risk assessment, conventional analytical procedures, and research challenges. The paper also examines possible risk regions or locations where breaches in such automated SCADA systems can emerge, as well as solutions as to how to safeguard and eliminate the hazards when they arise during production manufacturing.  © 2022 IEEE.</t>
  </si>
  <si>
    <t>automated manufacturing systems; cyber-attack; industrial control systems; risk Assessment; SCADA</t>
  </si>
  <si>
    <t>Automation; Computer crime; Crime; Cyber attacks; Hazards; Manufacture; Network security; Real time systems; SCADA systems; Attack methods; Automated manufacturing systems; Cyber-attacks; Industrial control systems; Production line; Real-time supervisory control; Risks assessments; Security flaws; Supervisory control and data acquisition; Technical reviews; Risk assessment</t>
  </si>
  <si>
    <t>Yang C.; Xu Y.</t>
  </si>
  <si>
    <t>978-166549807-4</t>
  </si>
  <si>
    <t>Int. Conf. Autom. Comput.: Smart Syst. Manuf., ICAC</t>
  </si>
  <si>
    <t>2-s2.0-85141169856</t>
  </si>
  <si>
    <t>2025-07-18 08:57:26</t>
  </si>
  <si>
    <t>Kaura C.; Sindhwani N.; Chaudhary A.</t>
  </si>
  <si>
    <t>Kaura, Cheerag (57657040300); Sindhwani, Nidhi (57188725256); Chaudhary, Alka (56125839100)</t>
  </si>
  <si>
    <t>57657040300; 57188725256; 56125839100</t>
  </si>
  <si>
    <t>Analysing the Impact of Cyber-Threat to ICS and SCADA Systems</t>
  </si>
  <si>
    <t>2022 International Mobile and Embedded Technology Conference, MECON 2022</t>
  </si>
  <si>
    <t>10.1109/MECON53876.2022.9752425</t>
  </si>
  <si>
    <t>https://www.scopus.com/inward/record.uri?eid=2-s2.0-85129192910&amp;doi=10.1109%2fMECON53876.2022.9752425&amp;partnerID=40&amp;md5=fb8f0525280f326e6581cd9bf76751e5</t>
  </si>
  <si>
    <t>Amity University, AIIT, Uttar Pradesh, Noida, India</t>
  </si>
  <si>
    <t>Kaura C., Amity University, AIIT, Uttar Pradesh, Noida, India; Sindhwani N., Amity University, AIIT, Uttar Pradesh, Noida, India; Chaudhary A., Amity University, AIIT, Uttar Pradesh, Noida, India</t>
  </si>
  <si>
    <t>The aim of this paper is to examine noteworthy cyberattacks that have taken place against ICS and SCADA systems and to analyse them. This paper also proposes a new classification scheme based on the severity of the attack. Since the information revolution, computers and associated technologies have impacted almost all aspects of daily life, and this is especially true of the industrial sector where one of the leading trends is that of automation. This widespread proliferation of computers and computer networks has also made it easier for malicious actors to gain access to these systems and networks and carry out harmful activities.  © 2022 IEEE.</t>
  </si>
  <si>
    <t>APTs; Attack Vectors; ICS/SCADA; Malware</t>
  </si>
  <si>
    <t>Cybersecurity; Integrated circuits; Intelligent control; Malware; APT; Attack vector; Classification scheme; Cyber threats; Cyber-attacks; Daily lives; ICS/SCADA; Industrial sector; Information revolution; SCADA systems</t>
  </si>
  <si>
    <t>978-166542020-4</t>
  </si>
  <si>
    <t>Int. Mob. Embed. Technol. Conf., MECON</t>
  </si>
  <si>
    <t>2-s2.0-85129192910</t>
  </si>
  <si>
    <t>2025-09-29 12:14:36</t>
  </si>
  <si>
    <t>Robinson S.</t>
  </si>
  <si>
    <t>Robinson, Sean (59328611000)</t>
  </si>
  <si>
    <t>59328611000</t>
  </si>
  <si>
    <t>Protecting IIoT networks and devices from cyber threats</t>
  </si>
  <si>
    <t>Electronics World</t>
  </si>
  <si>
    <t>2008</t>
  </si>
  <si>
    <t>https://www.scopus.com/inward/record.uri?eid=2-s2.0-85203958375&amp;partnerID=40&amp;md5=992e904c7507b92d6dc9a1c38a1de85b</t>
  </si>
  <si>
    <t>Novotek UK and Ireland, United Kingdom</t>
  </si>
  <si>
    <t>Robinson S., Novotek UK and Ireland, United Kingdom</t>
  </si>
  <si>
    <t>The Industrial Internet of Things (IIoT) has taken hold in factories and manufacturing facilities worldwide. And as machines and equipment become laden with sensors and more connected, they also become more susceptible to cybersecurity issues. An annual report by Kaspersky Lab, The State of Industrial Cybersecurity 2018, revealed several interesting facts about how industrial cybersecurity is perceived by businesses and applied to Industrial Control Systems (ICS).</t>
  </si>
  <si>
    <t>Cyber attacks; Smart manufacturing; Annual reports; Cyber security; Cyber threats; Industrial control systems; Manufacturing facility; Industrial internet of things (IIoT)</t>
  </si>
  <si>
    <t>Datateam Business Media Limited</t>
  </si>
  <si>
    <t>13654675</t>
  </si>
  <si>
    <t>Electron World</t>
  </si>
  <si>
    <t>2-s2.0-85203958375</t>
  </si>
  <si>
    <t>2025-10-15 08:54:27</t>
  </si>
  <si>
    <t>Anomaly Detection</t>
  </si>
  <si>
    <t>Neshenko N.; Bou-Harb E.; Furht B.</t>
  </si>
  <si>
    <t>Neshenko, Nataliia (57201557234); Bou-Harb, Elias (55546209800); Furht, Borko (7004960599)</t>
  </si>
  <si>
    <t>57201557234; 55546209800; 7004960599</t>
  </si>
  <si>
    <t>A behavioral-based forensic investigation approach for analyzing attacks on water plants using GANs</t>
  </si>
  <si>
    <t>37</t>
  </si>
  <si>
    <t>301198</t>
  </si>
  <si>
    <t>10.1016/j.fsidi.2021.301198</t>
  </si>
  <si>
    <t>https://www.scopus.com/inward/record.uri?eid=2-s2.0-85112567991&amp;doi=10.1016%2fj.fsidi.2021.301198&amp;partnerID=40&amp;md5=d102582a9ff61cf862b4f59e9d8cf025</t>
  </si>
  <si>
    <t>Department of Computer and Electrical Engineering and Computer Science, Florida Atlantic University, Boca Raton, United States; The Cyber Center for Security and Analytics, University of Texas at San Antonio, San Antonio, United States</t>
  </si>
  <si>
    <t>Neshenko N., Department of Computer and Electrical Engineering and Computer Science, Florida Atlantic University, Boca Raton, United States; Bou-Harb E., The Cyber Center for Security and Analytics, University of Texas at San Antonio, San Antonio, United States; Furht B., Department of Computer and Electrical Engineering and Computer Science, Florida Atlantic University, Boca Raton, United States</t>
  </si>
  <si>
    <t>With the continuous modernization of water plants, malicious, often state-sponsored attacks continue to create havoc in such critical realms. Motivated by this, this paper proposes an unsupervised data-driven approach to support cyber forensics in such unique setups. Specifically, the proposed approach aims at inferring and attributing cyber attacks using sensor readings and actuators states. The approach operates using attack-free data, which is attractive towards cyber forensics of such systems, where attack-related empirical data is rarely widely available due to security and privacy reasons. The proposed method also provides the capability to track and identify the attacked assets for prioritization purposes. The proposed approach exploits Bidirectional Generative Adversarial Networks (BiGAN) to fingerprint the behavior of the system under regular operation. It employs a combination of Recurrent Neural Network (RNN) and Convolutional Neural Networks (CNN) as a basis of its design components. The Energy Distance (ED) and Maximum Mean Discrepancy (MMD) are used to evaluate how firmly the model has learned the system's behavior. The approach also leverages the l1-norm distance between unseen data and corresponding reconstruction to estimate the irregularity score representing cyber attacks. The relative importance of the obtained residual error for each sensor/actuator is put forward to attribute the attacked assets. To this end, we independently employ a regression tree technique, a game-theoretic concept known as Shapley values, and a model-wise approach, the KernelSHAP, as residual loss to identify the relation of each asset to the inferred anomaly. The results are then amalgamated to pinpoint the attacked asset. Empirical evaluations using data collected in a testbed representing a small-scale water treatment plant uncovered 32 out of the 36 cyber incidents; exceeding the performance of state-of-the-art. We also show that the proposed approach identifies the exploited sensors/actuators with more than 8–15% accuracy improvement over current available works. We postulate and stress the fact that such proposed methods significantly contributes towards the forensics of critical infrastructure. © 2021 The Author(s)</t>
  </si>
  <si>
    <t>Anomaly detection; Generative Adversarial Networks (GAN); ICS forensics; Water treatment plants</t>
  </si>
  <si>
    <t>Computer crime; Computer forensics; Convolutional neural networks; Crime; Game theory; Network security; Privacy by design; Water treatment; Accuracy Improvement; Adversarial networks; Empirical evaluations; Forensic investigation; Recurrent neural network (RNN); Regular operations; Security and privacy; Unsupervised data; Recurrent neural networks</t>
  </si>
  <si>
    <t>N. Neshenko; Department of Computer and Electrical Engineering and Computer Science, Florida Atlantic University, Boca Raton, United States; email: nneshenko2016@fau.edu</t>
  </si>
  <si>
    <t>2-s2.0-85112567991</t>
  </si>
  <si>
    <t>2025-07-17 09:29:47</t>
  </si>
  <si>
    <t>ContainsThreats: Petri nets</t>
  </si>
  <si>
    <t>Meng H.; Cheng Y.; Chen X.; Lai Q.; Lei Y.</t>
  </si>
  <si>
    <t>Meng, Hainie (57212674456); Cheng, Yunli (57212043885); Chen, Xiaoru (57202407132); Lai, Qiaoxian (57665216800); Lei, Yaohua (57222075229)</t>
  </si>
  <si>
    <t>57212674456; 57212043885; 57202407132; 57665216800; 57222075229</t>
  </si>
  <si>
    <t>Research on information security technology based on hierarchical intelligent control system</t>
  </si>
  <si>
    <t>Proceedings - 2021 International Conference on Computer, Blockchain and Financial Development, CBFD 2021</t>
  </si>
  <si>
    <t>10.1109/CBFD52659.2021.00030</t>
  </si>
  <si>
    <t>https://www.scopus.com/inward/record.uri?eid=2-s2.0-85129411207&amp;doi=10.1109%2fCBFD52659.2021.00030&amp;partnerID=40&amp;md5=f9a4cdf6c253937828f88205ae220465</t>
  </si>
  <si>
    <t>Guangzhou University, South China Institute of Software Engineering, Guangdong, 510990, China</t>
  </si>
  <si>
    <t>Meng H., Guangzhou University, South China Institute of Software Engineering, Guangdong, 510990, China; Cheng Y., Guangzhou University, South China Institute of Software Engineering, Guangdong, 510990, China; Chen X., Guangzhou University, South China Institute of Software Engineering, Guangdong, 510990, China; Lai Q., Guangzhou University, South China Institute of Software Engineering, Guangdong, 510990, China; Lei Y., Guangzhou University, South China Institute of Software Engineering, Guangdong, 510990, China</t>
  </si>
  <si>
    <t>With the advent of the information age, the field of industrial control has achieved rapid development. Industrial equipment is connected to each other through bus network, and the deployment is relatively dispersed. Due to the lack of sufficient security of bus protocol, intruders use the information security hidden danger of bus protocol to attack the system. Therefore, the research on information security of fieldbus protocol is of great significance for information security protection in industrial field. In this paper, starting from the theory and practice, the commonly used several kinds of fieldbus in the industrial control system, namely the Modbus/RTU, CAN, Mr CAT bus research and analysis. Firstly, the Petri net formalized modeling method was used to model and analyze the above bus respectively. Secondly, the accessibility analysis method was used to analyze and verify the boundedness, reversibility and initiative of the model. Finally, the correctness of the model was guaranteed. Aiming at the hidden trouble existing in the current bus protocol, the attack behavior is formally described by Petri net model. In the experiment part, Modbus/RTU, CAN and Ether CAT field buses are used to build a hierarchical intelligent control system to simulate the actual industrial control scene. The system is divided into decision layer, control layer and executive layer to realize the communication between each layer and the upper and lower layers. In order to simulate the behavior of attackers, several attack experiments were carried out, including flood attack, eavesdropping to steal data frames, man-in-the-middle attack and other attack methods, to disrupt the normal operation of the system and record the experimental results. Finally, a bus monitoring system is designed, taking CAN bus as the monitoring object. The system CAN conduct real-time monitoring of the state when CAN bus transmits data according to the flow of data frames, and meanwhile conduct data collection to identify illegal data frames, so as to realize information security protection of the control system to a certain extent. The focus of this paper is to use Petri net modeling analysis method to analyze and study several field buses, and through the attack experiment to analyze the bus system information security risks, hoping that the research content of this paper can provide theoretical reference for the design and security protection of industrial control system.  © 2021 IEEE.</t>
  </si>
  <si>
    <t>fieldbus; hierarchical; Information security; Petri net</t>
  </si>
  <si>
    <t>Control theory; Industrial research; Intelligent control; Monitoring; Network security; Risk assessment; Analysis method; Bus protocol; Data frames; Fieldbus; Hierarchical; Hierarchical intelligent control; Industrial control systems; Industrial controls; Petri net models; Security protection; Petri nets</t>
  </si>
  <si>
    <t>978-166541227-8</t>
  </si>
  <si>
    <t>Proc. - Int. Conf. Comput., Blockchain Financ. Dev., CBFD</t>
  </si>
  <si>
    <t>2-s2.0-85129411207</t>
  </si>
  <si>
    <t>2025-07-24 14:21:34</t>
  </si>
  <si>
    <t>ThreatAnalysisMethodology: Automa based</t>
  </si>
  <si>
    <t>Sun R.; Mera A.; Lu L.; Choffnes D.</t>
  </si>
  <si>
    <t>Sun, Ruimin (57193360192); Mera, Alejandro (57219250217); Lu, Long (56731202600); Choffnes, David (14038844000)</t>
  </si>
  <si>
    <t>57193360192; 57219250217; 56731202600; 14038844000</t>
  </si>
  <si>
    <t>SoK: Attacks on industrial control logic and formal verification-based defenses</t>
  </si>
  <si>
    <t>Proceedings - 2021 IEEE European Symposium on Security and Privacy, Euro S and P 2021</t>
  </si>
  <si>
    <t>10.1109/EuroSP51992.2021.00034</t>
  </si>
  <si>
    <t>https://www.scopus.com/inward/record.uri?eid=2-s2.0-85119286453&amp;doi=10.1109%2fEuroSP51992.2021.00034&amp;partnerID=40&amp;md5=fbc10d5d838f23665e2efac837ae8f07</t>
  </si>
  <si>
    <t>Northeastern University, United States</t>
  </si>
  <si>
    <t>Sun R., Northeastern University, United States; Mera A., Northeastern University, United States; Lu L., Northeastern University, United States; Choffnes D., Northeastern University, United States</t>
  </si>
  <si>
    <t>Programmable Logic Controllers (PLCs) play a critical role in the industrial control systems. Vulnerabilities in PLC programs might lead to attacks causing devastating consequences to the critical infrastructure, as shown in Stuxnet and similar attacks. In recent years, we have seen an exponential increase in vulnerabilities reported for PLC control logic. Looking back on past research, we found extensive studies explored control logic modification attacks, as well as formal verification-based security solutions. We performed systematization on these studies, and found attacks that can compromise a full chain of control and evade detection. However, the majority of the formal verification research investigated ad-hoc techniques targeting PLC programs. We discovered challenges in every aspect of formal verification, rising from (1) the ever-expanding attack surface from evolved system design, (2) the real-time constraint during the program execution, and (3) the barrier in security evaluation given proprietary and vendor-specific dependencies on different techniques. Based on the knowledge systematization, we provide a set of recommendations for future research directions, and we highlight the need of defending security issues besides safety issues.  © 2021 IEEE.</t>
  </si>
  <si>
    <t>Attack; Formal verification; PLC</t>
  </si>
  <si>
    <t>Computer circuits; Programmable logic controllers; Ad-hoc techniques; Attack; Control logic; Exponential increase; Industrial control systems; Industrial controls; Modification attack; Security solutions; Stuxnet; Systematisation; Formal verification</t>
  </si>
  <si>
    <t>978-166541491-3</t>
  </si>
  <si>
    <t>Proc. - IEEE Eur. Symp. Secur. Priv., Euro S P</t>
  </si>
  <si>
    <t>2-s2.0-85119286453</t>
  </si>
  <si>
    <t>2025-09-29 10:04:07</t>
  </si>
  <si>
    <t>Sourav S.; Chen B.</t>
  </si>
  <si>
    <t>Sourav, Suman (6506101779); Chen, Binbin (56367849500)</t>
  </si>
  <si>
    <t>6506101779; 56367849500</t>
  </si>
  <si>
    <t>Distort to Detect, not Affect: Detecting Stealthy Sensor Attacks with Micro-distortion</t>
  </si>
  <si>
    <t>2021 IEEE International Conference on Communications, Control, and Computing Technologies for Smart Grids, SmartGridComm 2021</t>
  </si>
  <si>
    <t>10.1109/SmartGridComm51999.2021.9632311</t>
  </si>
  <si>
    <t>https://www.scopus.com/inward/record.uri?eid=2-s2.0-85123938191&amp;doi=10.1109%2fSmartGridComm51999.2021.9632311&amp;partnerID=40&amp;md5=acb61091fbc7791df2bdd0f2e8ff8ce7</t>
  </si>
  <si>
    <t>Advanced Digital Sciences Center, Singapore, Singapore</t>
  </si>
  <si>
    <t>Sourav S., Advanced Digital Sciences Center, Singapore, Singapore; Chen B., Advanced Digital Sciences Center, Singapore, Singapore</t>
  </si>
  <si>
    <t>In this paper, we propose an effective and easily deployable approach to detect the presence of stealthy sensor attacks in industrial control systems, where (legacy) control devices critically rely on accurate (and usually non-encrypted) sensor readings. Specifically, we focus on stealthy attacks that crash a sensor and then immediately impersonate that sensor by sending out fake readings. We consider attackers who aim to stay hidden in the system for a prolonged period. To detect such attacks, our approach relies on continuous injection of 'micro distortion' to the original sensor's readings. In particular, the injected distortion should be kept strictly within a small magnitude (e.g., 0.5 % of the possible operating value range), to ensure it does not affect the normal functioning of the ICS. Our approach uses a pre-shared secret sequence between a sensor and the defender to generate the micro-distortions. One key challenge is that the micro-distortions injected are often much lower than the sensor's actual readings, hence can be easily overwhelmed by the latter. To overcome this, we leverage the observation that sensor readings in many ICS (and power grid in particular) often change gradually in a significant fraction of time (i.e., with small difference between consecutive time slots). We devise a simple yet effective algorithm that can detect stealthy attackers in a highly accurate and fast (i.e., using less than 100 samples) manner. We demonstrate the effectiveness of our defense using real-world sensor reading traces from two different smart grid systems.  © 2021 IEEE.</t>
  </si>
  <si>
    <t>Electric power transmission networks; Integrated circuits; Smart power grids; Continuous injections; Control device; Effective algorithms; Highly accurate; Industrial control systems; Power grids; Sensor readings; Shared secrets; Simple++; Timeslots; Legacy systems</t>
  </si>
  <si>
    <t>978-166541502-6</t>
  </si>
  <si>
    <t>IEEE Int. Conf. Commun., Control, Comput. Technol. Smart Grids, SmartGridComm</t>
  </si>
  <si>
    <t>2-s2.0-85123938191</t>
  </si>
  <si>
    <t>2025-10-01 16:17:00</t>
  </si>
  <si>
    <t>ThreatAnalysisMethodology: Attack-based</t>
  </si>
  <si>
    <t>Gardiner J.; Eiffert A.; Garraghan P.; Race N.; Nagaraja S.; Rashid A.</t>
  </si>
  <si>
    <t>Gardiner, Joseph (57212166723); Eiffert, Adam (57367328300); Garraghan, Peter (55014397800); Race, Nicholas (8583591900); Nagaraja, Shishir (23398029100); Rashid, Awais (7102299639)</t>
  </si>
  <si>
    <t>57212166723; 57367328300; 55014397800; 8583591900; 23398029100; 7102299639</t>
  </si>
  <si>
    <t>Controller-in-the-Middle: Attacks on Software Defined Networks in Industrial Control Systems</t>
  </si>
  <si>
    <t>CPSIoTSec 2021 - Proceedings of the 2nd Workshop on CPS and IoT Security and Privacy, co-located with CCS 2021</t>
  </si>
  <si>
    <t>10.1145/3462633.3483979</t>
  </si>
  <si>
    <t>https://www.scopus.com/inward/record.uri?eid=2-s2.0-85120900636&amp;doi=10.1145%2f3462633.3483979&amp;partnerID=40&amp;md5=0883c70c43bcb14184b0982fb1a1d8ac</t>
  </si>
  <si>
    <t>University of Bristol, Bristol, United Kingdom; Lancaster University, Lancaster, United Kingdom; University of Strathclyde, United Kingdom</t>
  </si>
  <si>
    <t>Gardiner J., University of Bristol, Bristol, United Kingdom; Eiffert A., University of Bristol, Bristol, United Kingdom; Garraghan P., Lancaster University, Lancaster, United Kingdom; Race N., Lancaster University, Lancaster, United Kingdom; Nagaraja S., University of Strathclyde, United Kingdom; Rashid A., University of Bristol, Bristol, United Kingdom</t>
  </si>
  <si>
    <t>Programmable networks are an area of increasing research activity and real-world usage. The most common example of programmable networks is software defined networking (SDN), in which the control and data planes are separated, with switches only acting as forwarding devices controlled by software in the form of an SDN controller. As well as routing, this controller can perform other network functions such as load balancing and firewalls. There is an increasing amount of work proposing the use of SDN in industrial control systems (ICS) environments. The ability of SDN to dynamically control the network provides many potential benefits, including to security, utilising the dynamic orchestration of security controls. However, the centralisation of network control results in a single point of failure within the system, and thus potentially a major target of attack. An attacker who is capable of controlling the SDN controller gains near full control of the network. In this paper, we describe and analyse this very scenario. We demonstrate a number of simple, yet highly effective, attacks from a compromised SDN controller within an ICS environment which can break the real-time properties of industrial protocols, and potentially interfere with the operation of physical processes.  © 2021 ACM.</t>
  </si>
  <si>
    <t>industrial control systems; operational technology; scada; security; software defined networking</t>
  </si>
  <si>
    <t>Computer system firewalls; Controllers; Intelligent control; Network security; Programmed control systems; SCADA systems; Industrial control systems; Operational technologies; Programmable network; Real-world; Research activities; Scadum; Security; Software-defined networkings; Software-defined networks; System environment; Software defined networking</t>
  </si>
  <si>
    <t>978-145038487-2</t>
  </si>
  <si>
    <t>CPSIoTSec - Proc. Workshop CPS IoT Secur. Priv., co-located CCS</t>
  </si>
  <si>
    <t>2-s2.0-85120900636</t>
  </si>
  <si>
    <t>2025-09-29 12:22:28</t>
  </si>
  <si>
    <t>ContainsThreats: MQTT</t>
  </si>
  <si>
    <t>dos Santos D.R.; Dagrada M.; Costante E.</t>
  </si>
  <si>
    <t>dos Santos, Daniel Ricardo (56875212600); Dagrada, Mario (55507392400); Costante, Elisa (24342804800)</t>
  </si>
  <si>
    <t>56875212600; 55507392400; 24342804800</t>
  </si>
  <si>
    <t>Leveraging operational technology and the Internet of things to attack smart buildings</t>
  </si>
  <si>
    <t>Journal of Computer Virology and Hacking Techniques</t>
  </si>
  <si>
    <t>1</t>
  </si>
  <si>
    <t>10.1007/s11416-020-00358-8</t>
  </si>
  <si>
    <t>https://www.scopus.com/inward/record.uri?eid=2-s2.0-85087405711&amp;doi=10.1007%2fs11416-020-00358-8&amp;partnerID=40&amp;md5=e546b2e95330cb7db0902d53c3710ce7</t>
  </si>
  <si>
    <t>Forescout Technologies, John F. Kennedylaan 2, Eindhoven, 5612 AB, Netherlands</t>
  </si>
  <si>
    <t>dos Santos D.R., Forescout Technologies, John F. Kennedylaan 2, Eindhoven, 5612 AB, Netherlands; Dagrada M., Forescout Technologies, John F. Kennedylaan 2, Eindhoven, 5612 AB, Netherlands; Costante E., Forescout Technologies, John F. Kennedylaan 2, Eindhoven, 5612 AB, Netherlands</t>
  </si>
  <si>
    <t>In recent years, the buildings where we spend most part of our life are rapidly evolving. They are becoming fully automated environments where energy consumption, access control, heating and many other subsystems are all integrated within a single system commonly referred to as smart building (SB). To support the growing complexity of building operations, building automation systems (BAS) powering SBs are integrating consumer range Internet of things (IoT) devices such as IP cameras alongside with operational technology (OT) controllers and actuators. However, these changes pose important cybersecurity concerns since the attack surface is larger, attack vectors are increasing and attacks can potentially harm building occupants. In this paper, we analyze the threat landscape of BASs by focusing on subsystems which are strongly affected by the advent of IoT devices such as video surveillance systems and smart lightining. We demonstrate how BAS operation can be disrupted by simple attacks to widely used network protocols. Furthermore, using both known and 0-day vulnerabilities reported in the paper and previously disclosed, we present the first (at our knowledge) BAS-specific malware which is able to persist within the BAS network by leveraging both OT and IoT devices connected to the BAS. Our research highlights how BAS networks can be considered as critical as industrial control systems and security concerns in BASs deserve more attention from both industrial and scientific communities. Even within a simulated environment, our proof-of-concept attacks were carried out with relative ease and a limited amount of budget and resources. Therefore, we believe that well-funded attack groups will increasingly shift their focus towards BASs with the potential of impacting the live of thousands of people. © 2020, Springer-Verlag France SAS, part of Springer Nature.</t>
  </si>
  <si>
    <t>Building automation; Internet of things; Malware; Operational technology</t>
  </si>
  <si>
    <t>Access control; Automation; Budget control; Energy utilization; Industrial research; Intelligent buildings; Internet protocols; Knowledge management; Malware; Network security; Security systems; Building automation systems; Building operations; Industrial control systems; Internet of Things (IOT); Operational technologies; Scientific community; Simulated environment; Video surveillance systems; Internet of things</t>
  </si>
  <si>
    <t>D.R. dos Santos; Forescout Technologies, Eindhoven, John F. Kennedylaan 2, 5612 AB, Netherlands; email: daniel.dossantos@forescout.com</t>
  </si>
  <si>
    <t>Springer-Verlag Italia s.r.l.</t>
  </si>
  <si>
    <t>22638733</t>
  </si>
  <si>
    <t>J. Comput. Virol. Hacking Tech.</t>
  </si>
  <si>
    <t>2-s2.0-85087405711</t>
  </si>
  <si>
    <t>2025-08-01 11:02:15</t>
  </si>
  <si>
    <t>Perales Gómez Á.L.; Fernández Maimó L.; Huertas Celdrán A.; García Clemente F.J.; Gil Pérez M.; Martínez Pérez G.</t>
  </si>
  <si>
    <t>Perales Gómez, Ángel Luis (57201182869); Fernández Maimó, Lorenzo (57195371851); Huertas Celdrán, Alberto (56011153200); García Clemente, Félix J. (12808508300); Gil Pérez, Manuel (55937383000); Martínez Pérez, Gregorio (7203067256)</t>
  </si>
  <si>
    <t>57201182869; 57195371851; 56011153200; 12808508300; 55937383000; 7203067256</t>
  </si>
  <si>
    <t>SafeMan: A unified framework to manage cybersecurity and safety in manufacturing industry</t>
  </si>
  <si>
    <t>Software - Practice and Experience</t>
  </si>
  <si>
    <t>51</t>
  </si>
  <si>
    <t>10.1002/spe.2879</t>
  </si>
  <si>
    <t>https://www.scopus.com/inward/record.uri?eid=2-s2.0-85089084831&amp;doi=10.1002%2fspe.2879&amp;partnerID=40&amp;md5=e8e02b365fe02a0982d99ec3cd9dbd7a</t>
  </si>
  <si>
    <t>Departamento de Ingeniería y Tecnología de Computadores, University of Murcia, Murcia, Spain; Telecommunications Software and Systems Group, Waterford Institute of Technology, Waterford, Ireland; Departamento de Ingeniería de la Información y las Comunicaciones, University of Murcia, Murcia, Spain</t>
  </si>
  <si>
    <t>Perales Gómez Á.L., Departamento de Ingeniería y Tecnología de Computadores, University of Murcia, Murcia, Spain; Fernández Maimó L., Departamento de Ingeniería y Tecnología de Computadores, University of Murcia, Murcia, Spain; Huertas Celdrán A., Telecommunications Software and Systems Group, Waterford Institute of Technology, Waterford, Ireland; García Clemente F.J., Departamento de Ingeniería y Tecnología de Computadores, University of Murcia, Murcia, Spain; Gil Pérez M., Departamento de Ingeniería de la Información y las Comunicaciones, University of Murcia, Murcia, Spain; Martínez Pérez G., Departamento de Ingeniería de la Información y las Comunicaciones, University of Murcia, Murcia, Spain</t>
  </si>
  <si>
    <t>Industrial control systems (ICS) are considered cyber-physical systems that join both cyber and physical worlds. Due to their tight interaction, where humans and robots co-work and co-inhabit in the same workspaces and production lines, cyber-attacks targeting ICS can alter production processes and even bypass safety procedures. As an example, these cyber-attacks could interrupt physical industrial processes and cause potential injuries to workers. In this article, we present SafeMan, a unified management framework based on the Edge Computing paradigm that provides high-performance applications for the detection and mitigation of both cyber-attacks and safety threats in industrial scenarios. Three use cases show specific threats in manufacturing as well as the SafeMan actions carried out to detect and mitigate them. In order to validate our proposal, a pool of experiments was performed with Electra, an industrial dataset with normal network traffic and different cyber-attacks by using a given number of Modbus TCP and S7Comm devices. The experiments measured the runtime performance of anomaly detection techniques based on machine learning and deep learning to detect cyber-attacks in control networks. The experimental results show that Neural Networks report the best performance, being able to examine 217 feature vectors per second over Electra, and therefore demonstrating that it can be used as detection model for SafeMan in real scenarios. © 2020 John Wiley &amp; Sons, Ltd.</t>
  </si>
  <si>
    <t>anomaly detection; cybersecurity; deep learning; industrial control system; machine learning; safety</t>
  </si>
  <si>
    <t>Accident prevention; Anomaly detection; Crime; Deep learning; Embedded systems; Human robot interaction; Manufacture; Network security; High performance applications; Industrial control systems; Industrial processs; Industrial scenarios; Management frameworks; Manufacturing industries; Production process; Run-time performance; Computer crime</t>
  </si>
  <si>
    <t>Á.L. Perales Gómez; Departamento de Ingeniería y Tecnología de Computadores, University of Murcia, Murcia, Spain; email: angelluis.perales@um.es</t>
  </si>
  <si>
    <t>John Wiley and Sons Ltd</t>
  </si>
  <si>
    <t>00380644</t>
  </si>
  <si>
    <t>SPEXB</t>
  </si>
  <si>
    <t>Software Pract Exper</t>
  </si>
  <si>
    <t>2-s2.0-85089084831</t>
  </si>
  <si>
    <t>2025-10-15 08:23:50</t>
  </si>
  <si>
    <t>ThreatAnalysisMethodology: MITRE ATT&amp;CK</t>
  </si>
  <si>
    <t>Ayub A.; Yoo H.; Ahmed I.</t>
  </si>
  <si>
    <t>Ayub, Adeen (57226826851); Yoo, Hyunguk (55676163600); Ahmed, Irfan (57202619773)</t>
  </si>
  <si>
    <t>57226826851; 55676163600; 57202619773</t>
  </si>
  <si>
    <t>Empirical Study of PLC Authentication Protocols in Industrial Control Systems</t>
  </si>
  <si>
    <t>Proceedings - 2021 IEEE Symposium on Security and Privacy Workshops, SPW 2021</t>
  </si>
  <si>
    <t>10.1109/SPW53761.2021.00058</t>
  </si>
  <si>
    <t>https://www.scopus.com/inward/record.uri?eid=2-s2.0-85112499137&amp;doi=10.1109%2fSPW53761.2021.00058&amp;partnerID=40&amp;md5=6d142bb4a477045daec4f887403d5d4e</t>
  </si>
  <si>
    <t>Virginia Commonwealth University, Department of Computer Science, Richmond, United States; University of New Orleans, Department of Computer Science, New Orleans, United States</t>
  </si>
  <si>
    <t>Ayub A., Virginia Commonwealth University, Department of Computer Science, Richmond, United States; Yoo H., University of New Orleans, Department of Computer Science, New Orleans, United States; Ahmed I., Virginia Commonwealth University, Department of Computer Science, Richmond, United States</t>
  </si>
  <si>
    <t>Programmable logic controllers (PLCs) run a 'control logic' program that defines how to control a physical process such as a nuclear plant, power grid stations, and gas pipelines. Attackers target the control logic of a PLC to sabotage a physical process. Most PLCs employ password based authentication mechanisms to prevent unauthorized remote access to control logic. This paper presents an empirical study on proprietary authentication mechanisms in five industry-scale PLCs to understand the security-design practices of four popular ICS vendors, i.e., Allen-Bradley, Schneider Electric, AutomationDirect, and Siemens the empirical study determines whether the mechanisms are vulnerable by design and can be exploited. It reveals serious design issues and vulnerabilities in authentication mechanisms, including lack of nonce, small-sized encryption key, weak encryption scheme, and client-side authentication the study further confirms the findings empirically by creating and testing their proof-of-concept exploits derived from MITRE ATTCK knowledge base of adversary tactics and techniques. Unlike existing work, our study relies solely on network traffic examination and does not employ typical reverse-engineering of binary files (e.g., PLC firmware) to reveal the seriousness of design problems. Moreover, the study covers PLCs from different vendors to highlight an industry-wide issue of secure PLC authentication that needs to be addressed.  © 2021 IEEE.</t>
  </si>
  <si>
    <t>CPS; critical infrastructure protection; cyber-physical systems; industrial control systems; password authentication; PLC; SCADA; stuxnet; TRISIS</t>
  </si>
  <si>
    <t>Authentication; Computer circuits; Controllers; Cyber Physical System; Cybersecurity; Electric power system control; Electric power transmission networks; Embedded systems; Firmware; Knowledge based systems; Process control; Programmed control systems; SCADA systems; CPS; Critical infrastructure protection; Cybe-physical systems; Cyber-physical systems; Empirical studies; Industrial control systems; Password-authentication; SCADA; Stuxnet; TRISIS; Programmable logic controllers</t>
  </si>
  <si>
    <t>978-172818934-5</t>
  </si>
  <si>
    <t>Proc. - IEEE Symp. Secur. Priv. Workshops, SPW</t>
  </si>
  <si>
    <t>2-s2.0-85112499137</t>
  </si>
  <si>
    <t>2025-09-29 10:04:58</t>
  </si>
  <si>
    <t>Erba A.; Taormina R.; Galelli S.; Pogliani M.; Carminati M.; Zanero S.; Tippenhauer N.O.</t>
  </si>
  <si>
    <t>Erba, Alessandro (57219505735); Taormina, Riccardo (36609357000); Galelli, Stefano (33567777500); Pogliani, Marcello (56422232500); Carminati, Michele (8932184600); Zanero, Stefano (6506494417); Tippenhauer, Nils Ole (35106192100)</t>
  </si>
  <si>
    <t>57219505735; 36609357000; 33567777500; 56422232500; 8932184600; 6506494417; 35106192100</t>
  </si>
  <si>
    <t>Constrained Concealment Attacks against Reconstruction-based Anomaly Detectors in Industrial Control Systems</t>
  </si>
  <si>
    <t>ACM International Conference Proceeding Series</t>
  </si>
  <si>
    <t>3427660</t>
  </si>
  <si>
    <t>10.1145/3427228.3427660</t>
  </si>
  <si>
    <t>https://www.scopus.com/inward/record.uri?eid=2-s2.0-85098066115&amp;doi=10.1145%2f3427228.3427660&amp;partnerID=40&amp;md5=f6c6f6af6620b54ae78450946a14b325</t>
  </si>
  <si>
    <t>Cispa Helmholtz Center for Information Security, Saarbrücken Graduate School of Computer Science, Saarland University, Saarbrücken, Germany; Delft University of Technology, Delft, Netherlands; Singapore University of Technology and Design, Singapore, Singapore; Politecnico di Milano, Milan, Italy</t>
  </si>
  <si>
    <t>Erba A., Cispa Helmholtz Center for Information Security, Saarbrücken Graduate School of Computer Science, Saarland University, Saarbrücken, Germany; Taormina R., Delft University of Technology, Delft, Netherlands; Galelli S., Singapore University of Technology and Design, Singapore, Singapore; Pogliani M., Politecnico di Milano, Milan, Italy; Carminati M., Politecnico di Milano, Milan, Italy; Zanero S., Politecnico di Milano, Milan, Italy; Tippenhauer N.O., Cispa Helmholtz Center for Information Security, Saarbrücken Graduate School of Computer Science, Saarland University, Saarbrücken, Germany</t>
  </si>
  <si>
    <t>Recently, reconstruction-based anomaly detection was proposed as an effective technique to detect attacks in dynamic industrial control networks. Unlike classical network anomaly detectors that observe the network traffic, reconstruction-based detectors operate on the measured sensor data, leveraging physical process models learned a priori. In this work, we investigate different approaches to evade prior-work reconstruction-based anomaly detectors by manipulating sensor data so that the attack is concealed. We find that replay attacks (commonly assumed to be very strong) show bad performance (i.e., increasing the number of alarms) if the attacker is constrained to manipulate less than 95% of all features in the system, as hidden correlations between the features are not replicated well. To address this, we propose two novel attacks that manipulate a subset of the sensor readings, leveraging learned physical constraints of the system. Our attacks feature two different attacker models: A white box attacker, which uses an optimization approach with a detection oracle, and a black box attacker, which uses an autoencoder to translate anomalous data into normal data. We evaluate our implementation on two different datasets from the water distribution domain, showing that the detector's Recall drops from 0.68 to 0.12 by manipulating 4 sensors out of 82 in WADI dataset. In addition, we show that our black box attacks are transferable to different detectors: They work against autoencoder-, LSTM-, and CNN-based detectors. Finally, we implement and demonstrate our attacks on a real industrial testbed to demonstrate their feasibility in real-time. © 2020 ACM.</t>
  </si>
  <si>
    <t>Adversarial Machine Learning; Autoencoder; Classifier Evasion; Deep Learning; Evasion Attack; Industrial Control System; Intrusion Detection; Mean Squared Error; Multivariate Time Series</t>
  </si>
  <si>
    <t>Learning systems; Long short-term memory; Security of data; Security systems; Water supply systems; Anomaly detector; Industrial control systems; Industrial controls; Network anomalies; Optimization approach; Physical constraints; Physical process; Water distributions; Anomaly detection</t>
  </si>
  <si>
    <t>Association for Computing Machinery</t>
  </si>
  <si>
    <t>978-145038858-0</t>
  </si>
  <si>
    <t>ACM Int. Conf. Proc. Ser.</t>
  </si>
  <si>
    <t>2-s2.0-85098066115</t>
  </si>
  <si>
    <t>2025-10-01 17:06:50</t>
  </si>
  <si>
    <t>ContainsThreats: Modbus, attack centric, assets</t>
  </si>
  <si>
    <t>Thomas D.M.; Pandey N.; Shukla V.K.; Singh A.V.</t>
  </si>
  <si>
    <t>Thomas, David M. (57211160249); Pandey, Nitin (57188588906); Shukla, Vinod Kumar (57208721890); Singh, Ajay Vikram (56520657000)</t>
  </si>
  <si>
    <t>57211160249; 57188588906; 57208721890; 56520657000</t>
  </si>
  <si>
    <t>Attack Vectors and Susceptibilities of the Modbus in TCP/IP Model</t>
  </si>
  <si>
    <t>2021 9th International Conference on Reliability, Infocom Technologies and Optimization (Trends and Future Directions), ICRITO 2021</t>
  </si>
  <si>
    <t>10.1109/ICRITO51393.2021.9596460</t>
  </si>
  <si>
    <t>https://www.scopus.com/inward/record.uri?eid=2-s2.0-85123374714&amp;doi=10.1109%2fICRITO51393.2021.9596460&amp;partnerID=40&amp;md5=c7286ffb58de24cd4dd713f37a99e877</t>
  </si>
  <si>
    <t>Amity University, Amity Institute of Information Technology, Noida, India</t>
  </si>
  <si>
    <t>Thomas D.M., Amity University, Amity Institute of Information Technology, Noida, India; Pandey N., Amity University, Amity Institute of Information Technology, Noida, India; Shukla V.K., Amity University, Amity Institute of Information Technology, Noida, India; Singh A.V., Amity University, Amity Institute of Information Technology, Noida, India</t>
  </si>
  <si>
    <t>The paper represents penetration testing Industrial Control Systems (ICS), and its operational working along with systems, that uses the Modbus TCP/IP Protocol and PROFINET Protocol. Modbus has many vulnerabilities that are explained in this paper and an analytical correlation on how these susceptibilities can be exploited through specific attacks. Further, a comparison on alternative protocols, i.e., PROFINET, is provided to show the fortes and flaws of using both of these protocols in ICSs. The paper reflects that Modbus is obsolete and far carry out risk in ICSs without unambiguously configured extenuations put in place. Further, the paper reflects research on this technology and presents in a systematic way to understand the knowledge in a new area of cyber security. © 2021 IEEE.</t>
  </si>
  <si>
    <t>Industrial Control System (ICS); Intrusion Detection Systems (IDS); Modbus; PROFINET; Programmable Logic Controller (PLC)</t>
  </si>
  <si>
    <t>Control systems; Cybersecurity; Intelligent control; Network security; Programmable logic controllers; Transmission control protocol; Attack vector; Industrial control system; Industrial control systems; Intrusion detection system; Intrusion Detection Systems; IP models; Modbus; Penetration testing; PROFInet; Programmable logic controller; Intrusion detection</t>
  </si>
  <si>
    <t>978-166541703-7</t>
  </si>
  <si>
    <t>Int. Conf. Reliab., Infocom Technol. Optim. (Trends Future Dir.), ICRITO</t>
  </si>
  <si>
    <t>2-s2.0-85123374714</t>
  </si>
  <si>
    <t>2025-07-22 09:07:05</t>
  </si>
  <si>
    <t>Toker F.S.; Akpinar K.O.; Ozcelik I.</t>
  </si>
  <si>
    <t>Toker, Firdevs Sevde (57253906800); Akpinar, Kevser Ovaz (57197735651); Ozcelik, Ibrahim (6603220008)</t>
  </si>
  <si>
    <t>57253906800; 57197735651; 6603220008</t>
  </si>
  <si>
    <t>MITRE ICS Attack Simulation and Detection on EtherCAT Based Drinking Water System</t>
  </si>
  <si>
    <t>9th International Symposium on Digital Forensics and Security, ISDFS 2021</t>
  </si>
  <si>
    <t>10.1109/ISDFS52919.2021.9486331</t>
  </si>
  <si>
    <t>https://www.scopus.com/inward/record.uri?eid=2-s2.0-85114671797&amp;doi=10.1109%2fISDFS52919.2021.9486331&amp;partnerID=40&amp;md5=2ded37ccf0189d510fb261d97c792484</t>
  </si>
  <si>
    <t>Sakarya University, Computer Eng. Dep., Sakarya, Turkey</t>
  </si>
  <si>
    <t>Toker F.S., Sakarya University, Computer Eng. Dep., Sakarya, Turkey; Akpinar K.O., Sakarya University, Computer Eng. Dep., Sakarya, Turkey; Ozcelik I., Sakarya University, Computer Eng. Dep., Sakarya, Turkey</t>
  </si>
  <si>
    <t>Industrial control systems (ICSs) are complex systems due to the technology and protocol diversity they contain. Operational Technology (OT), an ICS operating structure, has different performance and security requirements than the standard IT infrastructure. ICS systems consist of field devices where operational processes take place and control systems that provide management of these devices. Attackers are involved in the whole process after gaining access from the control layer. As a result, critical infrastructure systems are threatened by cyber-attacks. Therefore, continuous monitoring and security audits are also necessary processes for critical infrastructures. In this study, studies on the cyberattack and detection system were carried out on the critical infrastructures of the water management process. On the EtherCAT-based water management process, six different attack vectors for field devices were developed by the techniques in the MITRE ICS ATT&amp;CK matrix, and these attacks were separated by data obtained from network traffic and determined by the SVM algorithm. Attack scenarios were created by selecting seven different MITRE ICS ATT&amp;CK matrix techniques for attacks on the SCADA system in the control center via the engineering computer on the same process. Wazuh HIDS was used for the intrusion detection system for the SCADA system. Visualization of both attacks was done on ELK. © 2021 IEEE.</t>
  </si>
  <si>
    <t>critical infrastructures; cyber security; EtherCAT; intrusion detection; MITRE ICS; water management</t>
  </si>
  <si>
    <t>Access control; Computer control systems; Computer crime; Critical infrastructures; Digital forensics; Electronic crime countermeasures; Information management; Intrusion detection; Network security; Potable water; Public works; SCADA systems; Water management; Continuous monitoring; Critical infrastructure systems; Drinking water systems; Industrial control systems; Intrusion Detection Systems; Operational process; Operational technologies; Security requirements; Process control</t>
  </si>
  <si>
    <t>Varol A.; Karabatak M.; Varol C.</t>
  </si>
  <si>
    <t>978-166544481-1</t>
  </si>
  <si>
    <t>Int. Symp. Digit. Forensics Secur., ISDFS</t>
  </si>
  <si>
    <t>2-s2.0-85114671797</t>
  </si>
  <si>
    <t>2025-08-01 11:00:25</t>
  </si>
  <si>
    <t>Jia Y.; Wang J.; Poskitt C.M.; Chattopadhyay S.; Sun J.; Chen Y.</t>
  </si>
  <si>
    <t>Jia, Yifan (57203035197); Wang, Jingyi (57191964922); Poskitt, Christopher M. (36698287200); Chattopadhyay, Sudipta (57190658613); Sun, Jun (56153273100); Chen, Yuqi (59819854500)</t>
  </si>
  <si>
    <t>57203035197; 57191964922; 36698287200; 57190658613; 56153273100; 59819854500</t>
  </si>
  <si>
    <t>Adversarial attacks and mitigation for anomaly detectors of cyber-physical systems</t>
  </si>
  <si>
    <t>34</t>
  </si>
  <si>
    <t>100452</t>
  </si>
  <si>
    <t>10.1016/j.ijcip.2021.100452</t>
  </si>
  <si>
    <t>https://www.scopus.com/inward/record.uri?eid=2-s2.0-85107972529&amp;doi=10.1016%2fj.ijcip.2021.100452&amp;partnerID=40&amp;md5=f7f31fdfd9b98a8b598a4ba66714d89e</t>
  </si>
  <si>
    <t>Singapore University of Technology and Design, Singapore; Zhejiang University, China; Singapore Management University, Singapore</t>
  </si>
  <si>
    <t>Jia Y., Singapore University of Technology and Design, Singapore; Wang J., Zhejiang University, China; Poskitt C.M., Singapore Management University, Singapore; Chattopadhyay S., Singapore University of Technology and Design, Singapore; Sun J., Singapore Management University, Singapore; Chen Y., Singapore Management University, Singapore</t>
  </si>
  <si>
    <t>The threats faced by cyber-physical systems (CPSs) in critical infrastructure have motivated research into a multitude of attack detection mechanisms, including anomaly detectors based on neural network models. The effectiveness of anomaly detectors can be assessed by subjecting them to test suites of attacks, but less consideration has been given to adversarial attackers that craft noise specifically designed to deceive them. While successfully applied in domains such as images and audio, adversarial attacks are much harder to implement in CPSs due to the presence of other built-in defence mechanisms such as rule checkers (or invariant checkers). In this work, we present an adversarial attack that simultaneously evades the anomaly detectors and rule checkers of a CPS. Inspired by existing gradient-based approaches, our adversarial attack crafts noise over the sensor and actuator values, then uses a genetic algorithm to optimise the latter, ensuring that the neural network and the rule checking system are both deceived. We implemented our approach for two real-world critical infrastructure testbeds, successfully reducing the classification accuracy of their detectors by over 50% on average, while simultaneously avoiding detection by rule checkers. Finally, we explore whether these attacks can be mitigated by training the detectors on adversarial samples. © 2021 Elsevier B.V.</t>
  </si>
  <si>
    <t>Adversarial attacks; Anomaly detectors; Cyber-physical systems; Industrial control systems; Neural networks; Testing defence mechanisms</t>
  </si>
  <si>
    <t>Critical infrastructures; Cyber Physical System; Embedded systems; Genetic algorithms; Public works; Anomaly detector; Attack detection; Classification accuracy; Cyber physical systems (CPSs); Defence mechanisms; Gradient based; Neural network model; Sensor and actuators; Neural networks</t>
  </si>
  <si>
    <t>Y. Jia; Singapore University of Technology and Design, Singapore; email: yifan_jia@mymail.sutd.edu.sg</t>
  </si>
  <si>
    <t>2-s2.0-85107972529</t>
  </si>
  <si>
    <t>2025-10-01 16:57:50</t>
  </si>
  <si>
    <t>ThreatAnalysisMethodology: Automata based</t>
  </si>
  <si>
    <t>Sheng C.; Yao Y.; Fu Q.; Yang W.</t>
  </si>
  <si>
    <t>Sheng, Chuan (57216846536); Yao, Yu (35303649800); Fu, Qiang (57197732510); Yang, Wei (57001348700)</t>
  </si>
  <si>
    <t>57216846536; 35303649800; 57197732510; 57001348700</t>
  </si>
  <si>
    <t>A cyber-physical model for SCADA system and its intrusion detection</t>
  </si>
  <si>
    <t>Computer Networks</t>
  </si>
  <si>
    <t>185</t>
  </si>
  <si>
    <t>107677</t>
  </si>
  <si>
    <t>10.1016/j.comnet.2020.107677</t>
  </si>
  <si>
    <t>https://www.scopus.com/inward/record.uri?eid=2-s2.0-85096455333&amp;doi=10.1016%2fj.comnet.2020.107677&amp;partnerID=40&amp;md5=fbca5ce7a14df14e94d9bdf2f2bd489d</t>
  </si>
  <si>
    <t>College of Computer Science and Engineering, Northeastern University, Shenyang, 110169, China; Engineering Research Center of Security Technology of Complex Network System, Ministry of Education, Shenyang, 110169, China; Research Center of Safety Engineering Technology in Industrial Control, Neusoft Group Research, Liaoning Province, China; Software College, Northeastern University, Shenyang, 110169, China</t>
  </si>
  <si>
    <t>Sheng C., College of Computer Science and Engineering, Northeastern University, Shenyang, 110169, China, Engineering Research Center of Security Technology of Complex Network System, Ministry of Education, Shenyang, 110169, China; Yao Y., College of Computer Science and Engineering, Northeastern University, Shenyang, 110169, China, Engineering Research Center of Security Technology of Complex Network System, Ministry of Education, Shenyang, 110169, China; Fu Q., College of Computer Science and Engineering, Northeastern University, Shenyang, 110169, China, Research Center of Safety Engineering Technology in Industrial Control, Neusoft Group Research, Liaoning Province, China; Yang W., Research Center of Safety Engineering Technology in Industrial Control, Neusoft Group Research, Liaoning Province, China, Software College, Northeastern University, Shenyang, 110169, China</t>
  </si>
  <si>
    <t>Supervisory Control and Data Acquisition (SCADA) systems are becoming increasingly susceptible to the sophisticated and targeted cyber attacks which are typically carried out by exploiting the vulnerabilities of industrial control devices or protocols. However, most of the existing network intrusion detection methods only focus on detecting and characterizing cyber attacks against the SCADA system, but cannot fully describe their real impact on the system. In this paper, we propose a cyber-physical model for the SCADA system to detect intrusions from the SCADA network and evaluate their risk levels against the industrial process. The model aims at characterizing the network structure and industrial process of the SCADA system through extracting and correlating the communication patterns and states of ICS devices. And any violation of the model is considered abnormal behavior, which can be caused by false operation or network attacks. Through associating network intrusions with the status of the SCADA system, a risk assessment method is proposed to estimate the potential damage degree of the attack on the system, which provides network administrators with richer information about network attacks. Moreover, the comprehensive performance evaluation conducted on public SCADA network data sets shows that the proposed method outperforms the existing methods in detecting and analyzing various cyber attacks against the SCADA system. © 2020 Elsevier B.V.</t>
  </si>
  <si>
    <t>Industrial control system; Intrusion detection; Model; Risk level; SCADA system</t>
  </si>
  <si>
    <t>Crime; Cyber Physical System; Damage detection; Intrusion detection; Network security; Risk assessment; Risk perception; SCADA systems; Communication pattern; Comprehensive performance evaluation; Industrial controls; Industrial processs; Network administrator; Network intrusion detection method; Risk assessment methods; Supervisory control and dataacquisition systems (SCADA); Computer crime</t>
  </si>
  <si>
    <t>C. Sheng; College of Computer Science and Engineering, Northeastern University, Shenyang, 110169, China; email: 1610538@stu.neu.edu.cn</t>
  </si>
  <si>
    <t>13891286</t>
  </si>
  <si>
    <t>CNETD</t>
  </si>
  <si>
    <t>Comput. Networks</t>
  </si>
  <si>
    <t>2-s2.0-85096455333</t>
  </si>
  <si>
    <t>2025-07-18 08:54:37</t>
  </si>
  <si>
    <t>Rajesh L.; Satyanarayana P.</t>
  </si>
  <si>
    <t>Rajesh, L. (37020603300); Satyanarayana, Penke (57216887489)</t>
  </si>
  <si>
    <t>37020603300; 57216887489</t>
  </si>
  <si>
    <t>Detection and blocking of replay, false command, and false access injection commands in scada systems with modbus protocol</t>
  </si>
  <si>
    <t>Security and Communication Networks</t>
  </si>
  <si>
    <t>2021</t>
  </si>
  <si>
    <t>8887666</t>
  </si>
  <si>
    <t>10.1155/2021/8887666</t>
  </si>
  <si>
    <t>https://www.scopus.com/inward/record.uri?eid=2-s2.0-85116230461&amp;doi=10.1155%2f2021%2f8887666&amp;partnerID=40&amp;md5=f2a1caedb871ff77ee0552a9b168281f</t>
  </si>
  <si>
    <t>Department of Electronics and Communication Engineering, Koneru Lakshmaiah Education Foundation, K L Deemed to Be University, Guntur, Andhra Pradesh, Vaddeswaram, 522 502, India</t>
  </si>
  <si>
    <t>Rajesh L., Department of Electronics and Communication Engineering, Koneru Lakshmaiah Education Foundation, K L Deemed to Be University, Guntur, Andhra Pradesh, Vaddeswaram, 522 502, India; Satyanarayana P., Department of Electronics and Communication Engineering, Koneru Lakshmaiah Education Foundation, K L Deemed to Be University, Guntur, Andhra Pradesh, Vaddeswaram, 522 502, India</t>
  </si>
  <si>
    <t>Industrial control systems (ICS) are being used for surveillance and controlling numerous industrial process plants in national critical infrastructures. Supervisory control and data acquisition (SCADA) system is a core component in ICS systems for continuous monitoring and controlling these process plants. Legacy SCADA systems are working in isolated networks and using proprietary communication protocols which made them less exposed to cyber threats. In recent times, these ICS systems have been connected to Internet and corporate networks for data sharing and remote monitoring. (ey are also using open protocols and operating systems. (is leads to vulnerabilities of the system to cyberattacks. Cybersecurity threats are more prevalent than ever in ICS systems. (ese attacks may be external or internal. Modbus is a widely deployed communication protocol for SCADA communications. (ere is no security in design of Modbus protocol, and it is vulnerable to numerous cyberattacks. In this paper, we worked for False Command Injection attack, False Access Injection attack, and replay attacks on Modbus protocol. Initially, a real-time SCADA testbed was set up, and we envisaged the impact of these attacks on Modbus protocol data using the testbed. In this work, we used local area network (LAN) environment only for simulating the attacks. We assumed that the attacks penetrated the LAN network. We proposed and developed (a) a method to detect replay attacks by incorporating time stamp and sequence number in Modbus communications and (b) a frame filtering module which will block unauthorized attacks like False Command Injection and False Access Injection attacks to reach programmable logic controller (PLC). Numbers of attacks were simulated and the performance of the method was measured using attack block rate (ABR). It blocked 97% of malicious Modbus transactions or attacks to reach the PLC. It protects SCADA systems from attackers, which is a core component of industrial control systems. (e solution enhanced the security of SCADA systems with Modbus protocol.  © 2021 Rajesh L and Penke Satyanarayana.</t>
  </si>
  <si>
    <t>Cyber attacks; Intelligent control; Legacy systems; Local area networks; Monitoring; Network security; Process control; Testbeds; Command injections; Communications protocols; Core components; Cyber-attacks; Industrial control systems; Modbus protocol; Process plants; Programmable logic; Replay attack; Supervisory control and data acquisition; SCADA systems</t>
  </si>
  <si>
    <t>L. Rajesh; Department of Electronics and Communication Engineering, Koneru Lakshmaiah Education Foundation, K L Deemed to Be University, Vaddeswaram, Guntur, Andhra Pradesh, 522 502, India; email: locharalarajesh@gmail.com</t>
  </si>
  <si>
    <t>Hindawi Limited</t>
  </si>
  <si>
    <t>19390114</t>
  </si>
  <si>
    <t>Secur. Commun. Networks</t>
  </si>
  <si>
    <t>2-s2.0-85116230461</t>
  </si>
  <si>
    <t>2025-07-22 10:11:58</t>
  </si>
  <si>
    <t>Liu K.; Wang J.-Y.; Wei Q.; Zhang Z.-Y.; Sun J.; Ma R.-K.; Deng R.-L.</t>
  </si>
  <si>
    <t>Liu, Ke (57207733989); Wang, Jing-Yi (57191964922); Wei, Qiang (55553728348); Zhang, Zhen-Yong (57203918007); Sun, Jun (56153273100); Ma, Rong-Kuan (57212471299); Deng, Rui-Long (35182640000)</t>
  </si>
  <si>
    <t>57207733989; 57191964922; 55553728348; 57203918007; 56153273100; 57212471299; 35182640000</t>
  </si>
  <si>
    <t>HRPDF: A Software-Based Heterogeneous Redundant Proactive Defense Framework for Programmable Logic Controller</t>
  </si>
  <si>
    <t>Journal of Computer Science and Technology</t>
  </si>
  <si>
    <t>36</t>
  </si>
  <si>
    <t>6</t>
  </si>
  <si>
    <t>10.1007/s11390-021-1647-7</t>
  </si>
  <si>
    <t>https://www.scopus.com/inward/record.uri?eid=2-s2.0-85121370820&amp;doi=10.1007%2fs11390-021-1647-7&amp;partnerID=40&amp;md5=5200203b484cf635caa9cfa743e8562d</t>
  </si>
  <si>
    <t>State Key Laboratory of Mathematical Engineering and Advanced Computing, Zhengzhou, 450001, China; College of Control Science and Engineering, Zhejiang University, Hangzhou, 310027, China; College of Computer Science and Technology, Guizhou University, Guiyang, 550025, China; School of Information Systems, Singapore Management University, Singapore, 689867, Singapore</t>
  </si>
  <si>
    <t>Liu K., State Key Laboratory of Mathematical Engineering and Advanced Computing, Zhengzhou, 450001, China; Wang J.-Y., College of Control Science and Engineering, Zhejiang University, Hangzhou, 310027, China; Wei Q., State Key Laboratory of Mathematical Engineering and Advanced Computing, Zhengzhou, 450001, China; Zhang Z.-Y., College of Control Science and Engineering, Zhejiang University, Hangzhou, 310027, China, College of Computer Science and Technology, Guizhou University, Guiyang, 550025, China; Sun J., School of Information Systems, Singapore Management University, Singapore, 689867, Singapore; Ma R.-K., State Key Laboratory of Mathematical Engineering and Advanced Computing, Zhengzhou, 450001, China; Deng R.-L., College of Control Science and Engineering, Zhejiang University, Hangzhou, 310027, China</t>
  </si>
  <si>
    <t>Programmable logic controllers (PLCs) play a critical role in many industrial control systems, yet face increasingly serious cyber threats. In this paper, we propose a novel PLC-compatible software-based defense mechanism, called Heterogeneous Redundant Proactive Defense Framework (HRPDF). We propose a heterogeneous PLC architecture in HRPDF, including multiple heterogeneous, equivalent, and synchronous runtimes, which can thwart multiple types of attacks against PLC without the need of external devices. To ensure the availability of PLC, we also design an inter-process communication algorithm that minimizes the overhead of HRPDF. We implement a prototype system of HRPDF and test it in a real-world PLC and an OpenPLC-based device, respectively. The results show that HRPDF can defend against multiple types of attacks with 10.22% additional CPU and 5.56% additional memory overhead, and about 0.6 ms additional time overhead. © 2021, Institute of Computing Technology, Chinese Academy of Sciences.</t>
  </si>
  <si>
    <t>heterogeneous redundant architecture; industrial control system; proactive defense; programmable logic controller</t>
  </si>
  <si>
    <t>Computer circuits; Controllers; Network security; Programmable logic controllers; Compatible software; Cyber threats; Defence mechanisms; Heterogeneous redundant architecture; Industrial control systems; Logic controller; Proactive defense; Programmable logic; Programmable logic controller; Redundant architecture; Programmed control systems</t>
  </si>
  <si>
    <t>Q. Wei; State Key Laboratory of Mathematical Engineering and Advanced Computing, Zhengzhou, 450001, China; email: 12132013@zju.edu.cn</t>
  </si>
  <si>
    <t>10009000</t>
  </si>
  <si>
    <t>JCTEE</t>
  </si>
  <si>
    <t>J Comput Sci Technol</t>
  </si>
  <si>
    <t>2-s2.0-85121370820</t>
  </si>
  <si>
    <t>2025-10-01 12:43:52</t>
  </si>
  <si>
    <t>Noorizadeh M.; Shakerpour M.; Meskin N.; Unal D.; Khorasani K.</t>
  </si>
  <si>
    <t>Noorizadeh, Mohammad (37662063800); Shakerpour, Mohammad (57221663328); Meskin, Nader (24172813000); Unal, Devrim (57207703040); Khorasani, Khashayar (26642977400)</t>
  </si>
  <si>
    <t>37662063800; 57221663328; 24172813000; 57207703040; 26642977400</t>
  </si>
  <si>
    <t>A Cyber-Security Methodology for a Cyber-Physical Industrial Control System Testbed</t>
  </si>
  <si>
    <t>9</t>
  </si>
  <si>
    <t>9328778</t>
  </si>
  <si>
    <t>10.1109/ACCESS.2021.3053135</t>
  </si>
  <si>
    <t>https://www.scopus.com/inward/record.uri?eid=2-s2.0-85099724920&amp;doi=10.1109%2fACCESS.2021.3053135&amp;partnerID=40&amp;md5=97a565186d168cddf0dc9722133699ef</t>
  </si>
  <si>
    <t>Department of Electrical Engineering, Qatar University, Doha, Qatar; KINDI Center for Computing Research, Qatar University, Doha, Qatar; Department of Electrical and Computer Engineering, Concordia University, Montreal, H3G 1M8, QC, Canada</t>
  </si>
  <si>
    <t>Noorizadeh M., Department of Electrical Engineering, Qatar University, Doha, Qatar; Shakerpour M., KINDI Center for Computing Research, Qatar University, Doha, Qatar; Meskin N., Department of Electrical Engineering, Qatar University, Doha, Qatar; Unal D., KINDI Center for Computing Research, Qatar University, Doha, Qatar; Khorasani K., Department of Electrical and Computer Engineering, Concordia University, Montreal, H3G 1M8, QC, Canada</t>
  </si>
  <si>
    <t>Due to recent increase in deployment of Cyber-Physical Industrial Control Systems in different critical infrastructures, addressing cyber-security challenges of these systems is vital for assuring their reliability and secure operation in presence of malicious cyber attacks. Towards this end, developing a testbed to generate real-time data-sets for critical infrastructure that would be utilized for validation of real-time attack detection algorithms are indeed highly needed. This paper investigates and proposes the design and implementation of a cyber-physical industrial control system testbed where the Tennessee Eastman process is simulated in real-time on a PC and the closed-loop controllers are implemented on the Siemens PLCs. False data injection cyber attacks are injected to the developed testbed through the man-in-the-middle structure where the malicious hackers can in real-time modify the sensor measurements that are sent to the PLCs. Furthermore, various cyber attack detection algorithms are developed and implemented in real-time on the testbed and their performance and capabilities are compared and evaluated. © 2013 IEEE.</t>
  </si>
  <si>
    <t>attack detection algorithm; cyber attack; hybrid testbed; Industrial control systems; man-in-the-middle attack</t>
  </si>
  <si>
    <t>Control systems; Critical infrastructures; Cyber Physical System; Man machine systems; Network security; Personal computing; Public works; Signal detection; Testbeds; Attack detection; Closed loop controllers; Design and implementations; False data injection; Industrial control systems; Man in the middle; Sensor measurements; Tennessee Eastman process; Computer crime</t>
  </si>
  <si>
    <t>N. Meskin; Department of Electrical Engineering, Qatar University, Doha, Qatar; email: nader.meskin@qu.edu.qa</t>
  </si>
  <si>
    <t>2-s2.0-85099724920</t>
  </si>
  <si>
    <t>2025-07-22 10:31:13</t>
  </si>
  <si>
    <t>Jeong E.; Park J.; Oh I.; Kim M.; Yim K.</t>
  </si>
  <si>
    <t>Jeong, Eunseon (57202515842); Park, Junyoung (55880123500); Oh, Insu (57194566032); Kim, Myoungsu (57202512951); Yim, Kangbin (7005983616)</t>
  </si>
  <si>
    <t>57202515842; 55880123500; 57194566032; 57202512951; 7005983616</t>
  </si>
  <si>
    <t>Analysis on account hijacking and remote dos vulnerability in the codesys-based plc runtime</t>
  </si>
  <si>
    <t>Advances in Intelligent Systems and Computing</t>
  </si>
  <si>
    <t>1195 AISC</t>
  </si>
  <si>
    <t>10.1007/978-3-030-50399-4_44</t>
  </si>
  <si>
    <t>https://www.scopus.com/inward/record.uri?eid=2-s2.0-85087003081&amp;doi=10.1007%2f978-3-030-50399-4_44&amp;partnerID=40&amp;md5=8e56eeafec34ad3df753e3c8465c0fb9</t>
  </si>
  <si>
    <t>Department of Information Security Engineering, Soonchunhyang University, Asan, South Korea</t>
  </si>
  <si>
    <t>Jeong E., Department of Information Security Engineering, Soonchunhyang University, Asan, South Korea; Park J., Department of Information Security Engineering, Soonchunhyang University, Asan, South Korea; Oh I., Department of Information Security Engineering, Soonchunhyang University, Asan, South Korea; Kim M., Department of Information Security Engineering, Soonchunhyang University, Asan, South Korea; Yim K., Department of Information Security Engineering, Soonchunhyang University, Asan, South Korea</t>
  </si>
  <si>
    <t>Controllers Development System (CODESYS) is an industrial control system development and control runtime platform developed by 3S-Smart Software Solutions, which was designed to meet the various requirements necessary for the modern industrial automation project. The CODESYS provides a platform in an OEM form so that it can be applied to various manufacturers requiring development software, which are applied to and used in more than 261 industrial machinery manufacturers in the world. This paper tests the vulnerabilities that may occur and checks if the products of the other manufacturers using the CODESYS platform imply the same vulnerability by performing reverse engineering for Engineering Workstations (EWS) and binary runtime of a control system based on this CODESYS platform. The vulnerability analysis procedures include bypassing of anti-debugging of runtime and reverse engineering for runtime reverse-analysis, and implementation of a network fuzzer through protocol analysis, which presents the protocol structure of the analyzed CODESYS V3 and an attack scenario in which the found vulnerability may be exploited. This paper has two types of vulnerabilities. This paper would describe the vulnerability that may occur in the user authentication process between EWS and Programmable Logic Controller (PLC) and the vulnerability of remote Denial of Service (DoS) attack, which shows that the attacker may disguise PLC through MitM attack or request the user account information. © Springer Nature Switzerland AG 2021.</t>
  </si>
  <si>
    <t>Authentication; Computation theory; Control systems; Controllers; Machinery; Manufacture; Network security; Ubiquitous computing; Web services; Development systems; Industrial automation; Industrial control systems; Industrial machinery; Programmable logic controllers (PLC); Protocol analysis; User authentication; Vulnerability analysis; Denial-of-service attack</t>
  </si>
  <si>
    <t>K. Yim; Department of Information Security Engineering, Soonchunhyang University, Asan, South Korea; email: yim@sch.ac.kr</t>
  </si>
  <si>
    <t>Barolli L.; Poniszewska-Maranda A.; Park H.</t>
  </si>
  <si>
    <t>21945357</t>
  </si>
  <si>
    <t>978-303050398-7</t>
  </si>
  <si>
    <t>Adv. Intell. Sys. Comput.</t>
  </si>
  <si>
    <t>2-s2.0-85087003081</t>
  </si>
  <si>
    <t>2025-09-29 09:44:10</t>
  </si>
  <si>
    <t>Gogic D.; Jelacic B.; Lendak I.</t>
  </si>
  <si>
    <t>Gogic, Damjan (57215653546); Jelacic, Bojan (56026841800); Lendak, Imre (36518973800)</t>
  </si>
  <si>
    <t>57215653546; 56026841800; 36518973800</t>
  </si>
  <si>
    <t>Simulation-based evaluation of DDoS against smart grid SCADAs</t>
  </si>
  <si>
    <t>11980 LNCS</t>
  </si>
  <si>
    <t>10.1007/978-3-030-42048-2_6</t>
  </si>
  <si>
    <t>https://www.scopus.com/inward/record.uri?eid=2-s2.0-85081540952&amp;doi=10.1007%2f978-3-030-42048-2_6&amp;partnerID=40&amp;md5=d3d8ae2ba97c4fd07df33698be89523e</t>
  </si>
  <si>
    <t>Faculty of Technical Sciences, University of Novi Sad, Novi Sad, Serbia; Faculty of Informatics, Eötvös Loránd University, Budapest, Hungary</t>
  </si>
  <si>
    <t>Gogic D., Faculty of Technical Sciences, University of Novi Sad, Novi Sad, Serbia; Jelacic B., Faculty of Technical Sciences, University of Novi Sad, Novi Sad, Serbia; Lendak I., Faculty of Technical Sciences, University of Novi Sad, Novi Sad, Serbia, Faculty of Informatics, Eötvös Loránd University, Budapest, Hungary</t>
  </si>
  <si>
    <t>The goal of this paper is to simulate the effects of different Distributed Denial of Service (DDoS) attack scenarios which might be launched against smart grid Supervisory Control and Data Acquisition systems, i.e. SCADAs. We will analyze attacks which are launched from compromised Remote Terminal Units (RTUs) located in the process environment. We created an ICS testbed and industrial DDoS simulator environment consisting of a single C&amp;C server and a configurable number of bots. We simulated scenarios with different numbers of hacked RTUs trying to overwhelm the SCADA with unwanted messages. We analyzed the effects of DDoS-type attacks against SCADAs with different internal queue architectures used to manage the incoming messages, i.e. no queues, single queue and separate queue for each connected RTU. © Springer Nature Switzerland AG 2020.</t>
  </si>
  <si>
    <t>Distributed Denial of Service (DDoS); Distributed Network Protocol Version 3 (DNP3); Process environment; Remote Terminal Unit; SCADA queue architecture; Supervisory Control and Data Acquisition (SCADA)</t>
  </si>
  <si>
    <t>Computer control systems; Computer privacy; Data acquisition; Electric power transmission networks; Embedded systems; Industrial research; Network architecture; Network protocols; Network security; Queueing theory; Security systems; Smart power grids; Distributed denial of service; Distributed network protocols; Process environment; Remote terminal units; Supervisory control and data acquisition; Denial-of-service attack</t>
  </si>
  <si>
    <t>I. Lendak; Faculty of Technical Sciences, University of Novi Sad, Novi Sad, Serbia; email: lendak@uns.ac.rs</t>
  </si>
  <si>
    <t>Katsikas S.; Katsikas S.; Cuppens F.; Cuppens N.; Lambrinoudakis C.; Gritzalis S.; Kalloniatis C.; Mylopoulos J.; Antón A.; Pallas F.; Pohle J.; Sasse A.; Meng W.; Furnell S.; Garcia-Alfaro J.</t>
  </si>
  <si>
    <t>978-303042047-5</t>
  </si>
  <si>
    <t>2-s2.0-85081540952</t>
  </si>
  <si>
    <t>2025-07-31 12:51:43</t>
  </si>
  <si>
    <t>Hu Y.; Li H.; Yang H.; Sun Y.; Sun L.; Wang Z.</t>
  </si>
  <si>
    <t>Hu, Yan (56377936800); Li, Hong (57188820055); Yang, Hong (57207942031); Sun, Yuyan (56174888400); Sun, Limin (35308519200); Wang, Zhiliang (55880036500)</t>
  </si>
  <si>
    <t>56377936800; 57188820055; 57207942031; 56174888400; 35308519200; 55880036500</t>
  </si>
  <si>
    <t>Detecting stealthy attacks against industrial control systems based on residual skewness analysis</t>
  </si>
  <si>
    <t>Eurasip Journal on Wireless Communications and Networking</t>
  </si>
  <si>
    <t>2019</t>
  </si>
  <si>
    <t>74</t>
  </si>
  <si>
    <t>10.1186/s13638-019-1389-1</t>
  </si>
  <si>
    <t>https://www.scopus.com/inward/record.uri?eid=2-s2.0-85063293082&amp;doi=10.1186%2fs13638-019-1389-1&amp;partnerID=40&amp;md5=412f5b2b2fa46f4e6ae74a95bbf33daa</t>
  </si>
  <si>
    <t>School of Computer and Communication Engineering, University of Science and Technology Beijing, 30 Xueyuan Road, Beijing, 100083, China; Beijing Key Laboratory of IoT Information Security, Institute of Information Engineering, Chinese Academy of Sciences, A 89 Minzhuang Road, Beijing, 100195, China; School of Cyber Security, University of Chinese Academy of Sciences, A 89 Minzhuang Road, Beijing, 100195, China; Beijing ZKWA Technology CO. LTD., E-Park, Xingshikou Road, Haidian District, Beijing, 100093, China</t>
  </si>
  <si>
    <t>Hu Y., School of Computer and Communication Engineering, University of Science and Technology Beijing, 30 Xueyuan Road, Beijing, 100083, China; Li H., Beijing Key Laboratory of IoT Information Security, Institute of Information Engineering, Chinese Academy of Sciences, A 89 Minzhuang Road, Beijing, 100195, China, School of Cyber Security, University of Chinese Academy of Sciences, A 89 Minzhuang Road, Beijing, 100195, China; Yang H., Beijing ZKWA Technology CO. LTD., E-Park, Xingshikou Road, Haidian District, Beijing, 100093, China; Sun Y., Beijing Key Laboratory of IoT Information Security, Institute of Information Engineering, Chinese Academy of Sciences, A 89 Minzhuang Road, Beijing, 100195, China, School of Cyber Security, University of Chinese Academy of Sciences, A 89 Minzhuang Road, Beijing, 100195, China; Sun L., Beijing Key Laboratory of IoT Information Security, Institute of Information Engineering, Chinese Academy of Sciences, A 89 Minzhuang Road, Beijing, 100195, China, School of Cyber Security, University of Chinese Academy of Sciences, A 89 Minzhuang Road, Beijing, 100195, China; Wang Z., School of Computer and Communication Engineering, University of Science and Technology Beijing, 30 Xueyuan Road, Beijing, 100083, China</t>
  </si>
  <si>
    <t>With the integration of the modern industrial control systems (ICS) with the Internet technology, ICS can make full use of the rich resources on the Internet to facilitate remote process control. However, every coin has two sides. More exposure to the outside IT world has made ICS an attractive target for hackers, so it becomes urgent to protect the security of ICS. Skilled attackers can penetrate control networks and then manipulate sensor readings or control signals persistently until the system crashes, while still keeping themselves undetected by following the expected behavior of the system closely. This kind of attacks are referred to as stealthy attacks. As far as we know, many existing intrusion detection techniques only investigate the magnitudes of behavior residuals, so they cannot detect this kind of stealthy attacks. In this paper, we discover that residuals generated during stealthy attacks exhibit significant skewness compared to attack-free residuals. Based on the new observation, we propose an effective and fast technique to detect stealthy attacks against ICS based on residual skewness analysis. Skewness coefficients can distinguish the counterfeited residuals from the attack-free residuals effectively. A larger absolute value of the skewness coefficient generally indicates the occurrence of a more intense stealthy attack. Finally, we conduct comprehensive experiments to verify the effectiveness and efficiency of the proposed stealthy attack detection approach. © 2019, The Author(s).</t>
  </si>
  <si>
    <t>Industrial control systems; Intrusion detection; Residual skewness analysis; Stealthy attacks</t>
  </si>
  <si>
    <t>Control system analysis; Higher order statistics; Intrusion detection; Personal computing; Attack detection; Effectiveness and efficiencies; Industrial control systems; Internet technology; Remote process control; Residual skewness analysis; Skewness coefficients; Stealthy attacks; Intelligent control</t>
  </si>
  <si>
    <t>H. Li; School of Cyber Security, University of Chinese Academy of Sciences, Beijing, A 89 Minzhuang Road, 100195, China; email: lihong@iie.ac.cn</t>
  </si>
  <si>
    <t>Springer International Publishing</t>
  </si>
  <si>
    <t>16871472</t>
  </si>
  <si>
    <t>Eurasip J. Wireless Commun. Networking</t>
  </si>
  <si>
    <t>2-s2.0-85063293082</t>
  </si>
  <si>
    <t>2025-10-01 15:10:10</t>
  </si>
  <si>
    <t>Hildebrandt M.; Lamshöft K.; DIttmann J.; Neubert T.; Vielhauer C.</t>
  </si>
  <si>
    <t>Hildebrandt, Mario (37014624400); Lamshöft, Kevin (57197734796); DIttmann, Jana (56157419800); Neubert, Tom (57191632826); Vielhauer, Claus (6602138719)</t>
  </si>
  <si>
    <t>37014624400; 57197734796; 56157419800; 57191632826; 6602138719</t>
  </si>
  <si>
    <t>Information Hiding in Industrial Control Systems: An OPC UA based Supply Chain Attack and its Detection</t>
  </si>
  <si>
    <t>IH and MMSec 2020 - Proceedings of the 2020 ACM Workshop on Information Hiding and Multimedia Security</t>
  </si>
  <si>
    <t>10.1145/3369412.3395068</t>
  </si>
  <si>
    <t>https://www.scopus.com/inward/record.uri?eid=2-s2.0-85087880300&amp;doi=10.1145%2f3369412.3395068&amp;partnerID=40&amp;md5=2b4e9a5069cf3737afc604f4e777ca6a</t>
  </si>
  <si>
    <t>Research Group Multimedia and Security, Otto-von-Guericke University of Magdeburg, Magdeburg, Germany; Brandenburg University of Applied Sciences, Brandenburg-an der Havel, Germany</t>
  </si>
  <si>
    <t>Hildebrandt M., Research Group Multimedia and Security, Otto-von-Guericke University of Magdeburg, Magdeburg, Germany; Lamshöft K., Research Group Multimedia and Security, Otto-von-Guericke University of Magdeburg, Magdeburg, Germany; DIttmann J., Research Group Multimedia and Security, Otto-von-Guericke University of Magdeburg, Magdeburg, Germany; Neubert T., Brandenburg University of Applied Sciences, Brandenburg-an der Havel, Germany; Vielhauer C., Brandenburg University of Applied Sciences, Brandenburg-an der Havel, Germany</t>
  </si>
  <si>
    <t>Industrial Control Systems (ICS) help to automate various cyber-physical systems in our world. The controlled processes range from rather simple traffic lights and elevators to complex networks of ICS in car manufacturing or controlling nuclear power plants. With the advent of industrial Ethernet ICS are increasingly connected to networks of Information Technology (IT). Thus, novel attack vectors on ICS are possible. In IT networks information hiding and steganography is increasingly used in advanced persistent threats to conceal the infection of the systems allowing the attacker to retain control over the compromised networks. In parallel ICS are more and more a target for attacks as well. Here, simple automated attacks as well as targeted attacks of nation state actors with the intention of damaging components or infrastructures as a part of cyber crime have already been observed. Information hiding could bring such attacks to a new level by integrating backdoors and hidden/covert communication channels that allow for attacking specific processes whenever it is deemed necessary. This paper sheds light on potential attack vectors on Programmable Logic Controllers (PLCs) using OPC Unified Architecture (OPC UA) network protocol based communication. We implement an exemplary supply chain attack consisting of an OPC UA server (Bob, B) and a Siemens S7-1500 PLC as OPC UA client (Alice, A). The hidden storage channel is using source timestamps to embed encrypted control sequences allowing for setting digital outputs to arbitrary values. The attack is solely relying on the programming of the PLC and does not require firmware level access. Due to the potential harm to life caused by attacks on cyber-physical systems any presentation of novel attack vectors need to present suitable mitigation strategies. Thus, we investigate potential approaches for the detection of the hidden storage channel for a warden W as well as potential countermeasures in order to increase the warden-compliance. Our machine learning based detection approach using a One-Class-Classifier yields a detection performance of 89.5% with zero false positives within an experiment with 46,159 OPC UA read responses without a steganographic message and 7,588 OPC UA read responses with an embedded steganographic message. © 2020 Owner/Author.</t>
  </si>
  <si>
    <t>industrial control systems; information hiding; OPC UA; process automation; steganography</t>
  </si>
  <si>
    <t>Automotive industry; Complex networks; Computer architecture; Control systems; Cyber Physical System; Embedded systems; Firmware; Network architecture; Network protocols; Nuclear fuels; Nuclear power plants; Programmable logic controllers; Supply chains; Detection approach; Detection performance; Industrial control systems; Industrial Ethernets; Information hiding; Mitigation strategy; One-class classifier; Opc unified architectures; Process control</t>
  </si>
  <si>
    <t>978-145037050-9</t>
  </si>
  <si>
    <t>IH MMSec - Proc. ACM Workshop Inf. Hiding Multimed. Secur.</t>
  </si>
  <si>
    <t>All Open Access; Bronze Open Access</t>
  </si>
  <si>
    <t>2-s2.0-85087880300</t>
  </si>
  <si>
    <t>2025-09-29 09:47:03</t>
  </si>
  <si>
    <t>Hu Y.; Li H.; Luan T.H.; Yang A.; Sun L.; Wang Z.; Wang R.</t>
  </si>
  <si>
    <t>Hu, Yan (56377936800); Li, Hong (57188820055); Luan, Tom H. (35248369400); Yang, An (56783551700); Sun, Limin (35308519200); Wang, Zhiliang (55880036500); Wang, Rui (57207824065)</t>
  </si>
  <si>
    <t>56377936800; 57188820055; 35248369400; 56783551700; 35308519200; 55880036500; 57207824065</t>
  </si>
  <si>
    <t>Detecting stealthy attacks on industrial control systems using a permutation entropy-based method</t>
  </si>
  <si>
    <t>Future Generation Computer Systems</t>
  </si>
  <si>
    <t>108</t>
  </si>
  <si>
    <t>10.1016/j.future.2018.07.027</t>
  </si>
  <si>
    <t>https://www.scopus.com/inward/record.uri?eid=2-s2.0-85052062165&amp;doi=10.1016%2fj.future.2018.07.027&amp;partnerID=40&amp;md5=8134cbcf5668debc0968ce8f0862b9fa</t>
  </si>
  <si>
    <t>School of Computer and Communication Engineering, University of Science and Technology Beijing, China; Beijing Key Laboratory of IoT Information Security, Institute of Information Engineering, Chinese Academy of Sciences, China; School of Cyber Security, University of Chinese Academy of Sciences, China; School of Cyber Engineering, Xidian University, China; Science and Technology on Integrated Information System Laboratory, Institute of Software, Chinese Academy of Sciences, China</t>
  </si>
  <si>
    <t>Hu Y., School of Computer and Communication Engineering, University of Science and Technology Beijing, China; Li H., Beijing Key Laboratory of IoT Information Security, Institute of Information Engineering, Chinese Academy of Sciences, China, School of Cyber Security, University of Chinese Academy of Sciences, China; Luan T.H., School of Cyber Engineering, Xidian University, China; Yang A., Beijing Key Laboratory of IoT Information Security, Institute of Information Engineering, Chinese Academy of Sciences, China, School of Cyber Security, University of Chinese Academy of Sciences, China; Sun L., Beijing Key Laboratory of IoT Information Security, Institute of Information Engineering, Chinese Academy of Sciences, China, School of Cyber Security, University of Chinese Academy of Sciences, China; Wang Z., School of Computer and Communication Engineering, University of Science and Technology Beijing, China; Wang R., Science and Technology on Integrated Information System Laboratory, Institute of Software, Chinese Academy of Sciences, China</t>
  </si>
  <si>
    <t>The modern Industrial Control Systems (ICS) now exhibit an increasing connectivity to the corporate Internet Technology (IT) networks so as to make use of the rich resources in IT networks. The increasing interaction between ICS and the outside IT world, however, has made them an attractive target for a variety of cyber attacks, raising great need to secure the ICS. In ICS, skilled attackers can manipulate sensor readings or control signals until the system crashes, while still keeping the attack process hidden by closely following the expected behavior of the system. This kind of attacks is called stealthy attacks, which cannot be detected by traditional intrusion detection methods in which only the magnitudes of residuals are evaluated. In this paper, we show that the residuals generated during a stealthy attack present some sort of regularity besides the magnitudes. Based on this observation, we propose a novel permutation entropy-based approach to detect stealthy attacks on ICS. The permutation entropy can characterize the non-randomness contained in the residuals so as to distinguish the residuals during a stealthy attack from a random series effectively. A significant change of the permutation entropy indicates the occurrence of a stealthy attack. Finally, we conduct comprehensive experiments to verify the effectiveness of the proposed stealthy attack detection approach. © 2018 Elsevier B.V.</t>
  </si>
  <si>
    <t>Industrial control systems; Intrusion detection systems; Permutation entropy; Stealthy attacks</t>
  </si>
  <si>
    <t>Computer crime; Control systems; Entropy; Intrusion detection; Network security; Attack detection; Industrial control systems; Internet technology; Intrusion detection method; Intrusion Detection Systems; Permutation entropy; Sensor readings; Stealthy attacks; Intelligent control</t>
  </si>
  <si>
    <t>H. Li; Beijing Key Laboratory of IoT Information Security, Institute of Information Engineering, Chinese Academy of Sciences, China; email: lihong@iie.ac.cn</t>
  </si>
  <si>
    <t>0167739X</t>
  </si>
  <si>
    <t>FGCSE</t>
  </si>
  <si>
    <t>Future Gener Comput Syst</t>
  </si>
  <si>
    <t>2-s2.0-85052062165</t>
  </si>
  <si>
    <t>2025-10-01 16:01:38</t>
  </si>
  <si>
    <t>Low Quality (Poster)</t>
  </si>
  <si>
    <t>Zerdazi I.; Fezari M.</t>
  </si>
  <si>
    <t>Zerdazi, Imene (57216348731); Fezari, Mohamed (15064108400)</t>
  </si>
  <si>
    <t>57216348731; 15064108400</t>
  </si>
  <si>
    <t>SCADA Attack Modeling Using Bond Graph</t>
  </si>
  <si>
    <t>6th International Conference on Information and Communication Technologies for Disaster Management, ICT-DM 2019</t>
  </si>
  <si>
    <t>9032929</t>
  </si>
  <si>
    <t>10.1109/ICT-DM47966.2019.9032929</t>
  </si>
  <si>
    <t>https://www.scopus.com/inward/record.uri?eid=2-s2.0-85083170565&amp;doi=10.1109%2fICT-DM47966.2019.9032929&amp;partnerID=40&amp;md5=57acd77043087dd0edc5286b25175f58</t>
  </si>
  <si>
    <t>Automatic and Signals Laboratory Annaba (LASA), Badji Mokhtar Annaba University, Departement of Electronics, Annaba, Algeria</t>
  </si>
  <si>
    <t>Zerdazi I., Automatic and Signals Laboratory Annaba (LASA), Badji Mokhtar Annaba University, Departement of Electronics, Annaba, Algeria; Fezari M., Automatic and Signals Laboratory Annaba (LASA), Badji Mokhtar Annaba University, Departement of Electronics, Annaba, Algeria</t>
  </si>
  <si>
    <t>Industrial control systems (ICSs) integrates supervisory control and data acquisition (SCADA), distributed control system (DCS) and programmable logic controllers (PLC) operating on critical infrastructures. Both ICS and SCADA present an attractive target for attackers due to their increasing interconnectivity to the internet. So, it is so essential to develop a security mechanism appropriate to the context of industrial systems to avoid or reduce the identified risks. This paper is concerned with the modeling of SCADA cyber-attacks that change sensor measurements (such as deception attacks) and system behavior using a bond graph (BG) tool. The objective is to model the effect of the attack on the system. Then, to facilitate the detection and the isolation of the attack from the system. © 2019 IEEE.</t>
  </si>
  <si>
    <t>attack modeling; bond graph; cyber-attacks; cyber-security; SCADA</t>
  </si>
  <si>
    <t>Disaster prevention; Disasters; Graph theory; Network security; Programmable logic controllers; SCADA systems; Change sensors; Industrial control systems; Industrial systems; Interconnectivity; Programmable logic controllers (PLC); Security mechanism; Supervisory control and data acquisition; System behaviors; Distributed parameter control systems</t>
  </si>
  <si>
    <t>Hadjadj-Aoul Y.</t>
  </si>
  <si>
    <t>978-172814920-2</t>
  </si>
  <si>
    <t>Int. Conf. Inf. Commun. Technol. Disaster Manag., ICT-DM</t>
  </si>
  <si>
    <t>2-s2.0-85083170565</t>
  </si>
  <si>
    <t>2025-07-22 09:09:33</t>
  </si>
  <si>
    <t>Rajapkar A.; Binnar P.; Kazi F.</t>
  </si>
  <si>
    <t>Rajapkar, Akshay (57215314779); Binnar, Pranita (57189235632); Kazi, Faruk (36455806600)</t>
  </si>
  <si>
    <t>57215314779; 57189235632; 36455806600</t>
  </si>
  <si>
    <t>Design of Intrusion Prevention System for OT Networks Using Deep Neural Networks</t>
  </si>
  <si>
    <t>2020 11th International Conference on Computing, Communication and Networking Technologies, ICCCNT 2020</t>
  </si>
  <si>
    <t>9225339</t>
  </si>
  <si>
    <t>10.1109/ICCCNT49239.2020.9225339</t>
  </si>
  <si>
    <t>https://www.scopus.com/inward/record.uri?eid=2-s2.0-85096593078&amp;doi=10.1109%2fICCCNT49239.2020.9225339&amp;partnerID=40&amp;md5=33d96f7c1f87e83bad1a219e2cb0c061</t>
  </si>
  <si>
    <t>Veermata Jijabai Technological Institute, Department of Electrical Engineering, Mumbai, India</t>
  </si>
  <si>
    <t>Rajapkar A., Veermata Jijabai Technological Institute, Department of Electrical Engineering, Mumbai, India; Binnar P., Veermata Jijabai Technological Institute, Department of Electrical Engineering, Mumbai, India; Kazi F., Veermata Jijabai Technological Institute, Department of Electrical Engineering, Mumbai, India</t>
  </si>
  <si>
    <t>The Automation industries that uses Supervisory Control and Data Acquisition (SCADA) systems are highly vulnerable for Network threats. Systems that are air-gapped and isolated from the internet are highly affected due to insider attacks like Spoofing, DOS and Malware threats that affects confidentiality, integrity and availability of Operational Technology (OT) system elements and degrade its performance even though security measures are taken. In this paper, a behavior-based intrusion prevention system (IPS) is designed for OT networks. The proposed system is implemented on SCADA test bed with two systems replicates automation scenarios in industry. This paper describes 4 main classes of cyber-attacks with their subclasses against SCADA systems and methodology with design of components of IPS system, database creation, Baselines and deployment of system in environment. IPS system identifies not only IT protocols but also Industry Control System (ICS) protocols Modbus and DNP3 with their inside communication fields using deep packet inspection (DPI). The analytical results show 99.89% accuracy on binary classification and 97.95% accuracy on multiclass classification of different attack vectors performed on network with low false positive rate. These results are also validated by actual deployment of IPS in SCADA systems with the prevention of DOS attack. © 2020 IEEE.</t>
  </si>
  <si>
    <t>Deep Neural Network; Deep packet inspection; DNP3; Intrusion prevention system; Modbus; OT Network; SCADA</t>
  </si>
  <si>
    <t>Classification (of information); Deep neural networks; Denial-of-service attack; Design; Malware; Network security; Neural networks; Binary classification; Communication fields; Deep packet inspection (DPI); False positive rates; Intrusion prevention systems; Multi-class classification; Operational technologies; Supervisory control and dataacquisition systems (SCADA); SCADA systems</t>
  </si>
  <si>
    <t>978-172816851-7</t>
  </si>
  <si>
    <t>Int. Conf. Comput., Commun. Netw. Technol., ICCCNT</t>
  </si>
  <si>
    <t>2-s2.0-85096593078</t>
  </si>
  <si>
    <t>2025-07-22 11:47:04</t>
  </si>
  <si>
    <t>Bytes A.; Zhou J.</t>
  </si>
  <si>
    <t>Bytes, Andrei (57204350421); Zhou, Jianying (35436693500)</t>
  </si>
  <si>
    <t>57204350421; 35436693500</t>
  </si>
  <si>
    <t>Post-exploitation and persistence techniques against programmable logic controller</t>
  </si>
  <si>
    <t>12418 LNCS</t>
  </si>
  <si>
    <t>10.1007/978-3-030-61638-0_15</t>
  </si>
  <si>
    <t>https://www.scopus.com/inward/record.uri?eid=2-s2.0-85094124093&amp;doi=10.1007%2f978-3-030-61638-0_15&amp;partnerID=40&amp;md5=d7632699493bfecb609bc4c7226b4637</t>
  </si>
  <si>
    <t>Bytes A., Singapore University of Technology and Design, Singapore, Singapore; Zhou J., Singapore University of Technology and Design, Singapore, Singapore</t>
  </si>
  <si>
    <t>The rising appearance of system security threats against real-world Critical Infrastructure (CI) sites over the past years brought significant research attention into the security of Industrial Control Systems (ICS). Academic institutions and major industrial appliance vendors have since increased efforts on effective vulnerability discovery in these systems. However, from the investigation of the major recent ICS incidents, it is evident that a targeted post-exploitation chain plays a crucial role for an attack to succeed. After the initial access to the system is gained, typically through a previously unknown (zero-day) or unpatched vulnerability, weak credentials or insider assistance, a specific knowledge on the system architecture is applied to achieve stealthy and persistent presence in the system before the physical process is disrupted. In this work, we propose a set of post-exploitation and persistence techniques against WAGO PFC200 Series Programmable Logic Controller (PLC). It will help to raise the awareness of stealthy and persistent threats to PLCs built on top of the variations of CODESYS runtime. © Springer Nature Switzerland AG 2020.</t>
  </si>
  <si>
    <t>Industrial control system security; Programmable Logic Controller; Vulnerability discovery</t>
  </si>
  <si>
    <t>Artificial intelligence; Chromium compounds; Computer circuits; Cryptography; Industrial internet of things (IIoT); Industrial research; Academic institutions; Industrial control systems; Physical process; Programmable logic; Programmable logic controllers (PLC); Specific knowledge; System architectures; Vulnerability discovery; Network security</t>
  </si>
  <si>
    <t>A. Bytes; Singapore University of Technology and Design, Singapore, Singapore; email: andrei_bytes@mymail.sutd.edu.sg</t>
  </si>
  <si>
    <t>Zhou J.; Ahmed C.M.; Conti M.; Losiouk E.; Au M.H.; Batina L.; Li Z.; Lin J.; Luo B.; Majumdar S.; Meng W.; Ochoa M.; Picek S.; Portokalidis G.; Wang C.; Zhang K.</t>
  </si>
  <si>
    <t>978-303061637-3</t>
  </si>
  <si>
    <t>2-s2.0-85094124093</t>
  </si>
  <si>
    <t>2025-09-29 10:45:38</t>
  </si>
  <si>
    <t>Lee J.-M.; Hong S.</t>
  </si>
  <si>
    <t>Lee, Jae-Myeong (57212673611); Hong, Sugwon (22334210200)</t>
  </si>
  <si>
    <t>57212673611; 22334210200</t>
  </si>
  <si>
    <t>Host-oriented approach to cyber security for the SCADA systems</t>
  </si>
  <si>
    <t>Colloquium in Information Science and Technology, CIST</t>
  </si>
  <si>
    <t>2020-June</t>
  </si>
  <si>
    <t>9357299</t>
  </si>
  <si>
    <t>10.1109/CiSt49399.2021.9357299</t>
  </si>
  <si>
    <t>https://www.scopus.com/inward/record.uri?eid=2-s2.0-85103823828&amp;doi=10.1109%2fCiSt49399.2021.9357299&amp;partnerID=40&amp;md5=654a6e614393ff2608daaf3329d6dd86</t>
  </si>
  <si>
    <t>Myongji University, Dept. of Computer Engineering, Yongin, South Korea</t>
  </si>
  <si>
    <t>Lee J.-M., Myongji University, Dept. of Computer Engineering, Yongin, South Korea; Hong S., Myongji University, Dept. of Computer Engineering, Yongin, South Korea</t>
  </si>
  <si>
    <t>Recent cyberattacks targeting Supervisory Control and Data Acquisition (SCADA)/Industrial Control System(ICS) exploit weaknesses of host system software environment and take over the control of host processes in the host of the station network. We analyze the attack path of these attacks, which features how the attack hijacks the host in the network and compromises the operations of field device controllers. The paper proposes a host-based protection method, which can prevent malware penetration into the process memory by code injection attacks. The method consists of two protection schemes. One is to prevent file-based code injection such as DLL injection. The other is to prevent fileless code injection. The method traces changes in memory regions and determine whether the newly allocated memory is written with malicious codes. For this method, we show how a machine learning method can be adopted.  © 2021 IEEE.</t>
  </si>
  <si>
    <t>Code injection; Cyber security; DLL injection; Fileless malware; SCADA/ICS</t>
  </si>
  <si>
    <t>Malware; Network security; Process control; SCADA systems; Turing machines; Code injection attacks; Machine learning methods; Malicious codes; Protection methods; Protection schemes; Station network; Supervisory control and data acquisition; System softwares; Learning systems</t>
  </si>
  <si>
    <t>El Mohajir M.; Al Achhab M.; El Mohajir B.E.; Ane B.K.; Jellouli I.</t>
  </si>
  <si>
    <t>2327185X</t>
  </si>
  <si>
    <t>978-172816646-9</t>
  </si>
  <si>
    <t>Colloq. Inform. Sci. Technol., CIST</t>
  </si>
  <si>
    <t>2-s2.0-85103823828</t>
  </si>
  <si>
    <t>2025-09-29 11:35:16</t>
  </si>
  <si>
    <t>Kwon S.; Yoo H.; Shon T.</t>
  </si>
  <si>
    <t>Kwon, Sungmoon (56525858300); Yoo, Hyunguk (55676163600); Shon, Taeshik (13408680500)</t>
  </si>
  <si>
    <t>56525858300; 55676163600; 13408680500</t>
  </si>
  <si>
    <t>RNN-based anomaly detection in DNP3 transport layer</t>
  </si>
  <si>
    <t>2019 IEEE International Conference on Communications, Control, and Computing Technologies for Smart Grids, SmartGridComm 2019</t>
  </si>
  <si>
    <t>8909701</t>
  </si>
  <si>
    <t>10.1109/SmartGridComm.2019.8909701</t>
  </si>
  <si>
    <t>https://www.scopus.com/inward/record.uri?eid=2-s2.0-85076412834&amp;doi=10.1109%2fSmartGridComm.2019.8909701&amp;partnerID=40&amp;md5=882e61b5d64dfc5fac8d708e18955c55</t>
  </si>
  <si>
    <t>Ajou University, Department of Computer Engineering, Suwon, South Korea; University of New Orleans, Department of Computer Science, New Orleans, United States; Ajou University, Department of Computer Engineering Department of Cyber Security, Suwon, South Korea</t>
  </si>
  <si>
    <t>Kwon S., Ajou University, Department of Computer Engineering, Suwon, South Korea; Yoo H., University of New Orleans, Department of Computer Science, New Orleans, United States; Shon T., Ajou University, Department of Computer Engineering Department of Cyber Security, Suwon, South Korea</t>
  </si>
  <si>
    <t>As more sophisticated cyberattacks against industrial control systems (ICSs) such as crashoverride and TRITON occur frequently, the security of ICS is becoming more and more emphasized. Currently, many security researches have been conducted on ICSs, but most studies focus on messages at the application layer containing data, and the transport layer for data transmission is not considered. However, problems at the transport layer can interfere with normal data acquisition and cause problems in availability which is a key characteristic of the control system. In addition, attacks that exploit this point do not require detailed knowledge of the control system, which may result in fatal results with a lower level of difficulty than other attacks, so security of the transport layer should also be considered as an important factor. Therefore, in this paper, we 1)analyze the transport layer attack that interferes with data acquisition and the protocols that attacks are effective by analyzing from an attacker's perspective, 2) analyzed transport layer attacks in the DNP3 protocol widely used in ICSs, 3) in order to detect this, propose a many to one bidirectional recurrent neural network (RNN) based detection technique considering the characteristics of ICS, and 4) describe the verification of the proposed model through an actual substation's DNP3 packet. © 2019 IEEE.</t>
  </si>
  <si>
    <t>Deep learning; Disabling reassembly attack; DNP3; ICS security</t>
  </si>
  <si>
    <t>Control systems; Data acquisition; Deep learning; Electric power transmission networks; Multilayer neural networks; Recurrent neural networks; Smart power grids; Application layers; Bidirectional recurrent neural networks; DNP3; Industrial control systems; Key characteristics; Level of difficulties; Reassembly; Security research; Anomaly detection</t>
  </si>
  <si>
    <t>978-153868099-5</t>
  </si>
  <si>
    <t>2-s2.0-85076412834</t>
  </si>
  <si>
    <t>2025-07-24 13:17:04</t>
  </si>
  <si>
    <t>Adepu S.; Kandasamy N.K.; Zhou J.; Mathur A.</t>
  </si>
  <si>
    <t>Adepu, Sridhar (57023884200); Kandasamy, Nandha Kumar (57200418412); Zhou, Jianying (35436693500); Mathur, Aditya (35617351100)</t>
  </si>
  <si>
    <t>57023884200; 57200418412; 35436693500; 35617351100</t>
  </si>
  <si>
    <t>Attacks on smart grid: power supply interruption and malicious power generation</t>
  </si>
  <si>
    <t>International Journal of Information Security</t>
  </si>
  <si>
    <t>10.1007/s10207-019-00452-z</t>
  </si>
  <si>
    <t>https://www.scopus.com/inward/record.uri?eid=2-s2.0-85068847114&amp;doi=10.1007%2fs10207-019-00452-z&amp;partnerID=40&amp;md5=3779776a42ca7e3fbb47c87368803c20</t>
  </si>
  <si>
    <t>iTrust, Singapore University of Technology and Design, 8 Somapah Rd, Tampines, Singapore; Department of Computer Science, Purdue University, 610 Purdue Mall, West Lafayette, United States</t>
  </si>
  <si>
    <t>Adepu S., iTrust, Singapore University of Technology and Design, 8 Somapah Rd, Tampines, Singapore; Kandasamy N.K., iTrust, Singapore University of Technology and Design, 8 Somapah Rd, Tampines, Singapore; Zhou J., iTrust, Singapore University of Technology and Design, 8 Somapah Rd, Tampines, Singapore; Mathur A., iTrust, Singapore University of Technology and Design, 8 Somapah Rd, Tampines, Singapore, Department of Computer Science, Purdue University, 610 Purdue Mall, West Lafayette, United States</t>
  </si>
  <si>
    <t>Electric power supply is an essential component for several sectors including manufacturing, healthcare, building management, water distribution, and transportation systems. Hence, any interruption in electric power is likely to have an undesirable impact on the overall operation of any residential or commercial ecosystem. The serious impacts of power supply interruption attacks have been realized in the recent cyber incidents such as the Ukraine power blackout. It is also evident from recent incidents that both network and process vulnerabilities are crucial for an adversary to cause an adverse impact on the operation. This paper reports an investigation into power supply interruption and malicious power generation attacks focusing on process and network vulnerabilities. The investigation was conducted in two steps: First, a vulnerability assessment was conducted on a fully operational electric power testbed. Next, the vulnerabilities discovered were exploited to perform different types of power supply interruption attacks and malicious power generation attacks. The attacks were executed using control code modification and SMA, a PV converter manufacturer, portal manipulation. The attacks reported here are useful for researchers and smart-grid operators to design and develop effective protection, detection, and response mechanisms. © 2019, Springer-Verlag GmbH Germany, part of Springer Nature.</t>
  </si>
  <si>
    <t>Critical infrastructure; Cyber-attacks; Cyber-physical systems; Industrial control system; Malicious power generation; Power interruption attacks; SCADA security; Smart-grid security</t>
  </si>
  <si>
    <t>Critical infrastructures; Cyber Physical System; Electric power transmission networks; Embedded systems; Manufacture; Network security; Outages; SCADA systems; Smart power grids; Water supply systems; Cyber-attacks; Industrial control systems; Power interruptions; SCADA security; Smart grid; Electric power system control</t>
  </si>
  <si>
    <t>S. Adepu; iTrust, Singapore University of Technology and Design, Tampines, 8 Somapah Rd, Singapore; email: adepu_sridhar@mymail.sutd.edu.sg</t>
  </si>
  <si>
    <t>16155262</t>
  </si>
  <si>
    <t>Int. J. Inf. Secur.</t>
  </si>
  <si>
    <t>2-s2.0-85068847114</t>
  </si>
  <si>
    <t>2025-09-29 09:54:35</t>
  </si>
  <si>
    <t>Low Quality</t>
  </si>
  <si>
    <t>Mesbah M.; Azer M.</t>
  </si>
  <si>
    <t>Mesbah, Mohamed (57213250984); Azer, Marianne (24476232400)</t>
  </si>
  <si>
    <t>57213250984; 24476232400</t>
  </si>
  <si>
    <t>Cyber Threats and Policies for Industrial Control Systems</t>
  </si>
  <si>
    <t>2019 International Conference on Smart Applications, Communications and Networking, SmartNets 2019</t>
  </si>
  <si>
    <t>9069761</t>
  </si>
  <si>
    <t>10.1109/SmartNets48225.2019.9069761</t>
  </si>
  <si>
    <t>https://www.scopus.com/inward/record.uri?eid=2-s2.0-85084410189&amp;doi=10.1109%2fSmartNets48225.2019.9069761&amp;partnerID=40&amp;md5=a59d19b2d632fb12c7cdbb494c568858</t>
  </si>
  <si>
    <t>School of Communication and Information Technology, Nile University, Department of Information Security, Egypt</t>
  </si>
  <si>
    <t>Mesbah M., School of Communication and Information Technology, Nile University, Department of Information Security, Egypt; Azer M., School of Communication and Information Technology, Nile University, Department of Information Security, Egypt</t>
  </si>
  <si>
    <t>Modern Industrial Control Systems (ICS) are very important in our life as we use information and communication technology (ICT) to manage, monitor and improve ICS usage. This continually exposes it to new threats due to the vulnerabilities and architectural weaknesses introduced by the extensive use of ICT. Different types of ICSs have common attacks in which these attacks are very sophisticated and have a great impact. This paper presents the results of our research on the impact of ICT attacks. Besides, it discusses how to protect ICS from attacks and policies/standards that each nation implements to protect its critical infrastructure. © 2019 IEEE.</t>
  </si>
  <si>
    <t>Computer Emergency Response Team (CERT); Critical Infrastructure; Cyber Security; Incident Response; Industrial Control Systems (ICS); Malware Attacks; Programmable Logic Controller (PLC); SCADA Policy; Standards; Supervisory Control and Data Acquisition (SCADA) Systems; Vulnerability Assessment</t>
  </si>
  <si>
    <t>Control systems; Architectural weakness; Cyber threats; Industrial control systems; Information and Communication Technologies; Information management</t>
  </si>
  <si>
    <t>978-172814274-6</t>
  </si>
  <si>
    <t>Int. Conf. Smart Appl., Commun. Netw., SmartNets</t>
  </si>
  <si>
    <t>2-s2.0-85084410189</t>
  </si>
  <si>
    <t>2025-09-29 09:56:10</t>
  </si>
  <si>
    <t>Cook M.; Stavrou I.; Dimmock S.; Johnson C.</t>
  </si>
  <si>
    <t>Cook, Marco (57219268034); Stavrou, Ioannis (57219269909); Dimmock, Sarah (57219265719); Johnson, Chris (7405664056)</t>
  </si>
  <si>
    <t>57219268034; 57219269909; 57219265719; 7405664056</t>
  </si>
  <si>
    <t>Introducing a forensics data type taxonomy of acquirable artefacts from programmable logic controllers</t>
  </si>
  <si>
    <t>International Conference on Cyber Security and Protection of Digital Services, Cyber Security 2020</t>
  </si>
  <si>
    <t>9138879</t>
  </si>
  <si>
    <t>10.1109/CyberSecurity49315.2020.9138879</t>
  </si>
  <si>
    <t>https://www.scopus.com/inward/record.uri?eid=2-s2.0-85091981963&amp;doi=10.1109%2fCyberSecurity49315.2020.9138879&amp;partnerID=40&amp;md5=5ec529357956501cdfe5dcddb02432d9</t>
  </si>
  <si>
    <t>University of Glasgow, School of Computng Science, Glasgow, United Kingdom</t>
  </si>
  <si>
    <t>Cook M., University of Glasgow, School of Computng Science, Glasgow, United Kingdom; Stavrou I., University of Glasgow, School of Computng Science, Glasgow, United Kingdom; Dimmock S., University of Glasgow, School of Computng Science, Glasgow, United Kingdom; Johnson C., University of Glasgow, School of Computng Science, Glasgow, United Kingdom</t>
  </si>
  <si>
    <t>The understanding of available data artefacts is fundamental to performing digital forensics. There is good understanding of what data artefacts are acquirable from common information technology (IT) systems such as a Windows operating system and what their potential forensic value could be. As a result, IT forensic investigators can make clear predictions about what information the acquired data would yield. The same level of understanding for programmable logic controllers (PLCs) found within industrial control systems (ICS) is limited. Previous research has restricted the discussion of PLC data to generic and common data formats. This makes it challenging to prepare for incidents proactively, develop new forensic capabilities and prioritise the collection of data should an incident occur. Examples of previous cyber incidents such as Stuxnet and Triton have employed ad-hoc methods for forensic the investigation, highlighting the lack of a systematic approach. This paper examines the specific data types stored on a PLC and describes a forensic artefact taxonomy based on the acquirable data. Data acquisition tests were performed primarily using third-party communication libraries that utilise the PLC's proprietary industrial communications protocol to leverage data stored within memory structures of each of the tested PLCs. Three PLCs, from two different manufacturers were examined. Potential PLC attack scenarios, identified from the literature, were used to guide the evaluation of the acquirable data, categorised into high-level data types, to highlight the potential benefits of acquiring each form of data.  © 2020 IEEE.</t>
  </si>
  <si>
    <t>Data Acquisition; Digital Forensics; Industrial Control Systems (ICS); Programmable Logic Controller (PLC) Forensics</t>
  </si>
  <si>
    <t>Computer circuits; Controllers; Data acquisition; Information services; Programmable logic controllers; Programmed control systems; Security of data; Taxonomies; Windows operating system; Ad hoc methods; Attack scenarios; Communication library; Industrial communications; Industrial control systems; Memory structure; Potential benefits; Third parties; Computer forensics</t>
  </si>
  <si>
    <t>M. Cook; University of Glasgow, School of Computng Science, Glasgow, United Kingdom; email: m.cook.2@research.gla.ac.uk</t>
  </si>
  <si>
    <t>978-172816428-1</t>
  </si>
  <si>
    <t>Int. Conf. Cyber Secur. Prot. Digit. Serv., Cyber Security</t>
  </si>
  <si>
    <t>2-s2.0-85091981963</t>
  </si>
  <si>
    <t>2025-09-29 09:51:20</t>
  </si>
  <si>
    <t>Aldmour R.; Burnap P.; Lakoju M.</t>
  </si>
  <si>
    <t>Aldmour, Rakan (57193014879); Burnap, Pete (8945612500); Lakoju, Mike (57193601353)</t>
  </si>
  <si>
    <t>57193014879; 8945612500; 57193601353</t>
  </si>
  <si>
    <t>Risk assessment methods for converged IoT and SCADA systems: Review and recommendations</t>
  </si>
  <si>
    <t>IET Conference Publications</t>
  </si>
  <si>
    <t>CP756</t>
  </si>
  <si>
    <t>10.1049/cp.2019.0130</t>
  </si>
  <si>
    <t>https://www.scopus.com/inward/record.uri?eid=2-s2.0-85081983191&amp;doi=10.1049%2fcp.2019.0130&amp;partnerID=40&amp;md5=812b28c7a6083ca86b98b76ce8c3da69</t>
  </si>
  <si>
    <t>School of Computer Science and Informatics, University of Cardiff, Wales, United Kingdom</t>
  </si>
  <si>
    <t>Aldmour R., School of Computer Science and Informatics, University of Cardiff, Wales, United Kingdom; Burnap P., School of Computer Science and Informatics, University of Cardiff, Wales, United Kingdom; Lakoju M., School of Computer Science and Informatics, University of Cardiff, Wales, United Kingdom</t>
  </si>
  <si>
    <t>Risk assessment is used to identify, estimate and prioritise risks that could impact organisations. Existing risk assessment methods are not particularly adapted to include dynamic systems such as the Internet of Things (IoT). Recently, IoT has been used to develop a natural extension of Supervisory Control and Data Acquisition (SCADA) systems that support industrial control in various sectors such as transportation, energy, and manufacturing. However, incorporating IoT systems without due attention to new risks posed could enable attacks, increase the cybersecurity concerns, and impact operations and safety. In this paper, special considerations for risk assessment methods in the context of converged IoT and SCADA systems are identified, and we present recommendations for the inclusion of the special considerations alongside standard methods for managing risks. © 2019 Institution of Engineering and Technology. All rights reserved.</t>
  </si>
  <si>
    <t>Converge ICS/SCADA/IoT systems; ICS/SCADA/IoT systems risk assessment</t>
  </si>
  <si>
    <t>Risk assessment; Risk management; Risk perception; SCADA systems; Cyber security; Industrial controls; Internet of thing (IOT); Natural extension; Risk assessment methods; Supervisory control and dataacquisition systems (SCADA); Internet of things</t>
  </si>
  <si>
    <t>R. Aldmour; School of Computer Science and Informatics, University of Cardiff, Wales, United Kingdom; email: Aldmourr@cardiff.ac.uk</t>
  </si>
  <si>
    <t>Institution of Engineering and Technology</t>
  </si>
  <si>
    <t>978-183953007-4; 978-183953066-1; 978-183953088-3; 978-183953089-0; 978-183953108-8; 978-183953125-5</t>
  </si>
  <si>
    <t>IET Conf Publ</t>
  </si>
  <si>
    <t>2-s2.0-85081983191</t>
  </si>
  <si>
    <t>2025-07-18 08:56:55</t>
  </si>
  <si>
    <t>Falco G.; Caldera C.; Shrobe H.</t>
  </si>
  <si>
    <t>Falco, Gregory (56979098300); Caldera, Carlos (57201525342); Shrobe, Howard (57203684356)</t>
  </si>
  <si>
    <t>56979098300; 57201525342; 57203684356</t>
  </si>
  <si>
    <t>IIoT Cybersecurity Risk Modeling for SCADA Systems</t>
  </si>
  <si>
    <t>IEEE Internet of Things Journal</t>
  </si>
  <si>
    <t>8332467</t>
  </si>
  <si>
    <t>10.1109/JIOT.2018.2822842</t>
  </si>
  <si>
    <t>https://www.scopus.com/inward/record.uri?eid=2-s2.0-85045200312&amp;doi=10.1109%2fJIOT.2018.2822842&amp;partnerID=40&amp;md5=bbd979aa2aa4b8c1d8e716138d870c9b</t>
  </si>
  <si>
    <t>Computer Science and Artificial Intelligence Laboratory, Massachusetts Institute of Technology, Cambridge, 02139-4307, MA, United States</t>
  </si>
  <si>
    <t>Falco G., Computer Science and Artificial Intelligence Laboratory, Massachusetts Institute of Technology, Cambridge, 02139-4307, MA, United States; Caldera C., Computer Science and Artificial Intelligence Laboratory, Massachusetts Institute of Technology, Cambridge, 02139-4307, MA, United States; Shrobe H., Computer Science and Artificial Intelligence Laboratory, Massachusetts Institute of Technology, Cambridge, 02139-4307, MA, United States</t>
  </si>
  <si>
    <t>Urban critical infrastructure such as electric grids, water networks, and transportation systems are prime targets for cyberattacks. These systems are composed of connected devices which we call the Industrial Internet of Things (IIoT). An attack on urban critical infrastructure IIoT would cause considerable disruption to society. Supervisory control and data acquisition (SCADA) systems are typically used to control IIoT for urban critical infrastructure. Despite the clear need to understand the cyber risk to urban critical infrastructure, there is no data-driven model for evaluating SCADA software risk for IIoT devices. In this paper, we compare non-SCADA and SCADA systems and establish, using cosine similarity tests, that SCADA as a software subclass holds unique risk attributes for IIoT. We then disprove the commonly accepted notion that the common vulnerability scoring system risk metrics of exploitability and impact are not correlated with attack for the SCADA subclass of software. A series of statistical models are developed to identify SCADA risk metrics that can be used to evaluate the risk that a SCADA-related vulnerability is exploited. Based on our findings, we build a customizable SCADA risk prioritization schema that can be used by the security community to better understand SCADA-specific risk. Considering the distinct properties of SCADA systems, a data-driven prioritization schema will help researchers identify security gaps specific to this software subclass that is essential to our society's operations. © 2014 IEEE.</t>
  </si>
  <si>
    <t>Critical infrastructure; Cybersecurity; Industrial control systems (ICSs); Industrial IoT (IIoT); Internet of Things (IoT) security; Risk; Supervisory control and data acquisition (SCADA)</t>
  </si>
  <si>
    <t>Computer software; Critical infrastructures; Integrated circuits; Intelligent control; Internet of things; Measurement; Public works; Risk assessment; Risks; Security of data; Software testing; Urban transportation; Cyber security; IIoT; Industrial internets; IoT Security; NIST; SCADA; SCADA systems</t>
  </si>
  <si>
    <t>G. Falco; Computer Science and Artificial Intelligence Laboratory, Massachusetts Institute of Technology, Cambridge, 02139-4307, United States; email: gfalco@mit.edu</t>
  </si>
  <si>
    <t>23274662</t>
  </si>
  <si>
    <t>IEEE Internet Things J.</t>
  </si>
  <si>
    <t>2-s2.0-85045200312</t>
  </si>
  <si>
    <t>2025-07-21 20:39:09</t>
  </si>
  <si>
    <t>Shim J.P.</t>
  </si>
  <si>
    <t>Shim, J.P. (25927512500)</t>
  </si>
  <si>
    <t>25927512500</t>
  </si>
  <si>
    <t>Cyber-physical systems and industrial IoT cybersecurity: Issues and solutions</t>
  </si>
  <si>
    <t>25th Americas Conference on Information Systems, AMCIS 2019</t>
  </si>
  <si>
    <t>https://www.scopus.com/inward/record.uri?eid=2-s2.0-85084020061&amp;partnerID=40&amp;md5=21776c5b59840223021e72deed472686</t>
  </si>
  <si>
    <t>Georgia State University, United States</t>
  </si>
  <si>
    <t>Shim J.P., Georgia State University, United States</t>
  </si>
  <si>
    <t>The topic of kinetic threats and Industrial Internet of Things (IIoT) cybersecurity has become matters of importance among academia and practitioners, as these buzzwords appear on front-page news in trade journals and media. The academia world has brought awareness to IT security, such as kinetic threats and industrial IoT cybersecurity solutions. Kinetic threats, identified as a class of attacks, both directly or indirectly, causes any form of destruction through the exploitation of exposed, vulnerable networks and infrastructure. These threat agents target cyber physical systems (CPS), including IIoT, which includes physical machinery with software and networked sensors across power grids, telecommunications and transportation networks. A recent study revealed that industrial IoT cybersecurity attacks will impact software, hardware, national infrastructure, defense, and daily operations of individuals and organizations. Traditional security solutions are outdated and have vulnerabilities, which are exposed to hackers, who gain unauthorized access to unprotected interfaces, hardcoded backdoors, and unencrypted connections. This paper presents the current status and trend of attacks such as kinetic threats and industrial IoT cybersecurity. Then, it discusses various kinetic threats and real-world issues. Five recommended solutions will be proposed. © 2019 Association for Information Systems. All rights reserved.</t>
  </si>
  <si>
    <t>Cyber-physical systems (CPS); Cybersecurity; Industrial Control Systems (ICS); Industrial Internet of Things (IIoT); Internet of Things (IoT); Kinetic threats</t>
  </si>
  <si>
    <t>Cyber Physical System; Electric power transmission networks; Embedded systems; Information systems; Information use; Intelligent control; Kinetics; Machinery; Personal computing; Security of data; Software agents; Cyber security; Cyber-physical systems (CPS); Industrial control systems; Industrial Internet of Things (IIoT); Internet of Things (IOT); Internet of things</t>
  </si>
  <si>
    <t>J.P. Shim; Georgia State University, United States; email: jpshim@gsu.edu</t>
  </si>
  <si>
    <t>Association for Information Systems</t>
  </si>
  <si>
    <t>Am. Conf. Inf. Syst., AMCIS</t>
  </si>
  <si>
    <t>2-s2.0-85084020061</t>
  </si>
  <si>
    <t>2025-09-29 12:19:29</t>
  </si>
  <si>
    <t>Sani A.S.; Yuan D.; Yeoh P.L.; Qiu J.; Bao W.; Vucetic B.; Dong Z.Y.</t>
  </si>
  <si>
    <t>Sani, Abubakar Sadiq (57200568656); Yuan, Dong (35724840600); Yeoh, Phee Lep (35957601400); Qiu, Jing (55846308000); Bao, Wei (57215627458); Vucetic, Branka (7004279281); Dong, Zhao Yang (56608244300)</t>
  </si>
  <si>
    <t>57200568656; 35724840600; 35957601400; 55846308000; 57215627458; 7004279281; 56608244300</t>
  </si>
  <si>
    <t>CyRA: A Real-Time Risk-Based Security Assessment Framework for Cyber Attacks Prevention in Industrial Control Systems</t>
  </si>
  <si>
    <t>IEEE Power and Energy Society General Meeting</t>
  </si>
  <si>
    <t>2019-August</t>
  </si>
  <si>
    <t>8973948</t>
  </si>
  <si>
    <t>10.1109/PESGM40551.2019.8973948</t>
  </si>
  <si>
    <t>https://www.scopus.com/inward/record.uri?eid=2-s2.0-85079056988&amp;doi=10.1109%2fPESGM40551.2019.8973948&amp;partnerID=40&amp;md5=6c0072e0a38e906e55cc390e2f84cce8</t>
  </si>
  <si>
    <t>Faculty of Engineering and Information Technologies, University of Sydney, Sydney, Australia; School of Electrical Engineering and Telecommunications, University of New South Wales, Sydney, Australia</t>
  </si>
  <si>
    <t>Sani A.S., Faculty of Engineering and Information Technologies, University of Sydney, Sydney, Australia; Yuan D., Faculty of Engineering and Information Technologies, University of Sydney, Sydney, Australia; Yeoh P.L., Faculty of Engineering and Information Technologies, University of Sydney, Sydney, Australia; Qiu J., Faculty of Engineering and Information Technologies, University of Sydney, Sydney, Australia; Bao W., Faculty of Engineering and Information Technologies, University of Sydney, Sydney, Australia; Vucetic B., Faculty of Engineering and Information Technologies, University of Sydney, Sydney, Australia; Dong Z.Y., School of Electrical Engineering and Telecommunications, University of New South Wales, Sydney, Australia</t>
  </si>
  <si>
    <t>Insufficient authentication and authorization of interconnected components are major risks in the Industrial Control System (ICS). To address this, we introduce CyRA, a realtime risk-based security assessment framework that consists of a Nested-ICS security architecture, secure registration protocol, and risk-based multi-factor authentication protocol by which every component is authenticated and authorized to ensure secure communications and prevent cyber attacks in the ICS. Our proposed framework applies Zero-Knowledge Proof of Knowledge (ZKPK) to perform risk-based multi-factor authentication and authorization using a digitally signed identity that encodes secrets provided by the component. Our approach is based on Threat Modeling (TM), Vulnerability Identification (VI), and Consequence Analysis (CA) to provide adequate and efficient authentication and authorization in the ICS. The resilience of our framework is evaluated against recent well-known cyber attacks. Specifically, we conduct a risk-based security assessment for a Safety Instrumentation System (SIS) communication protocol, known as TriStation. The results show that our framework enhances the security of the protocol in dealing with real-time uncertainty of threats, vulnerabilities, and consequences from a new cyber-attack, known as TRITON malware. © 2019 IEEE.</t>
  </si>
  <si>
    <t>authentication; authorization; Industrial control system; risk-based security assessment; security protocols</t>
  </si>
  <si>
    <t>Control systems; Crime; Malware; Network architecture; Network security; Real time systems; Risk assessment; Surveying instruments; Authentication and authorization; authorization; Efficient authentication; Industrial control systems; Instrumentation systems; Multi-factor authentication; Risk-based security; Security protocols; Authentication</t>
  </si>
  <si>
    <t>19449925</t>
  </si>
  <si>
    <t>978-172811981-6</t>
  </si>
  <si>
    <t>IEEE Power Energy Soc. Gen. Meet.</t>
  </si>
  <si>
    <t>2-s2.0-85079056988</t>
  </si>
  <si>
    <t>2025-07-22 10:20:06</t>
  </si>
  <si>
    <t>Non Downloadable</t>
  </si>
  <si>
    <t>Saif Qassim Q.; Jamil N.; Daud M.; Che Hasan H.</t>
  </si>
  <si>
    <t>Saif Qassim, Qais (36613541700); Jamil, Norziana (36682671900); Daud, Maslina (57193904391); Che Hasan, Hafizah (57208142277)</t>
  </si>
  <si>
    <t>36613541700; 36682671900; 57193904391; 57208142277</t>
  </si>
  <si>
    <t>Towards implementing scalable and reconfigurable SCADA security testbed in power system environment</t>
  </si>
  <si>
    <t>15</t>
  </si>
  <si>
    <t>10.1504/IJCIS.2019.098834</t>
  </si>
  <si>
    <t>https://www.scopus.com/inward/record.uri?eid=2-s2.0-85063972654&amp;doi=10.1504%2fIJCIS.2019.098834&amp;partnerID=40&amp;md5=57995cb81c18d5e0ea1dc0d4544c50e9</t>
  </si>
  <si>
    <t>Institutes of Informatics and Computing in Energy, Universiti Tenaga Nasional, Malaysia; CyberSecurity Malaysia, Selangor DarulEhsan, Malaysia</t>
  </si>
  <si>
    <t>Saif Qassim Q., Institutes of Informatics and Computing in Energy, Universiti Tenaga Nasional, Malaysia; Jamil N., Institutes of Informatics and Computing in Energy, Universiti Tenaga Nasional, Malaysia; Daud M., CyberSecurity Malaysia, Selangor DarulEhsan, Malaysia; Che Hasan H., CyberSecurity Malaysia, Selangor DarulEhsan, Malaysia</t>
  </si>
  <si>
    <t>The Stuxnet appears to be the very first cyber-attack upon industrial control systems. It has forced cybersecurity providers to put a lot of attention on outdated and obsolete security countermeasures of existing critical infrastructure systems due to the poor protection and security. Investigation of the effect of an attack upon the actual system is neither recommended due to the unintended consequences nor feasible on a replicated system, mainly due to the cost and the effort involved. Therefore, the SCADA cybersecurity researchers mostly rely on developing realistic SCADA testbeds for cybersecurity exercises. With that, this paper serves three goals; first, to present an overview of the electrical power grid SCADA system, as well as to describe the potential vulnerabilities and threats. Second, this paper pinpoints varied testbed research application areas, implementation requirements, and design approaches. Lastly, a scalable and reconfigurable SCADA testbed is proposed for cybersecurity practices. Copyright © 2019 Inderscience Enterprises Ltd.</t>
  </si>
  <si>
    <t>Cybersecurity; SCADA; Testbed</t>
  </si>
  <si>
    <t>Electric power transmission networks; SCADA systems; Security of data; Testbeds; Critical infrastructure systems; Cyber security; Cybersecurity exercise; Industrial control systems; Protection and security; SCADA; Security countermeasures; Unintended consequences; Electric power system security</t>
  </si>
  <si>
    <t>Q. Saif Qassim; Institutes of Informatics and Computing in Energy, Universiti Tenaga Nasional, Malaysia; email: qaisj3@gmail.com</t>
  </si>
  <si>
    <t>2-s2.0-85063972654</t>
  </si>
  <si>
    <t>2025-07-31 12:39:22</t>
  </si>
  <si>
    <t>Mir A.W.; Ketti Ramachandran R.</t>
  </si>
  <si>
    <t>Mir, Abdul Wahid (55322123300); Ketti Ramachandran, Ramkumar (57216687351)</t>
  </si>
  <si>
    <t>55322123300; 57216687351</t>
  </si>
  <si>
    <t>Security gaps assessment of smart grid based SCADA systems</t>
  </si>
  <si>
    <t>Information and Computer Security</t>
  </si>
  <si>
    <t>10.1108/ICS-12-2018-0146</t>
  </si>
  <si>
    <t>https://www.scopus.com/inward/record.uri?eid=2-s2.0-85067613824&amp;doi=10.1108%2fICS-12-2018-0146&amp;partnerID=40&amp;md5=5a1179e1827876a25995c938e31e2ef2</t>
  </si>
  <si>
    <t>Department of Computer Science and Engineering, Chitkara University, Chandigarh, India</t>
  </si>
  <si>
    <t>Mir A.W., Department of Computer Science and Engineering, Chitkara University, Chandigarh, India; Ketti Ramachandran R., Department of Computer Science and Engineering, Chitkara University, Chandigarh, India</t>
  </si>
  <si>
    <t>Purpose: Supervisory control and data acquisition (SCADA) systems security is of paramount importance, and there should be a holistic approach to it, as any gap in the security will lead to critical national-level disaster. The purpose of this paper is to present the case study of security gaps assessment of SCADA systems of electricity utility company in the Sultanate of Oman against the regulatory standard and security baseline requirements published by the Authority for Electricity Regulation (AER), Government of Sultanate of Oman. Design/methodology/approach: The security gaps assessment presented in this paper are based on the security baseline requirements that include core areas, controls for each core area and requirements for each control. Findings: The paper provides the security gaps assessment summary of SCADA systems of electricity utility company. Practical implications: The summary of threats and vulnerabilities presented will help stakeholders to be proactive rather than reactive in the event of any attack. Originality/value: This case study discusses the various security challenges in smart grid based on SCADA systems and provides the summary of challenges and recommendations to overcome the same. © 2019, Emerald Publishing Limited.</t>
  </si>
  <si>
    <t>Gap assessment; Government regulation; Industrial control systems (ICS); SCADA; Security challenges; Smart grid</t>
  </si>
  <si>
    <t>Electric power system security; Electric power transmission networks; Smart power grids; Gap assessment; Government regulation; Industrial control systems; SCADA; Security challenges; Smart grid; SCADA systems</t>
  </si>
  <si>
    <t>A.W. Mir; Department of Computer Science and Engineering, Chitkara University, Chandigarh, India; email: wahids@live.com</t>
  </si>
  <si>
    <t>Emerald Group Holdings Ltd.</t>
  </si>
  <si>
    <t>20564961</t>
  </si>
  <si>
    <t>Inf. Comput. Security</t>
  </si>
  <si>
    <t>2-s2.0-85067613824</t>
  </si>
  <si>
    <t>2025-07-31 12:49:16</t>
  </si>
  <si>
    <t>Stranahan J.; Soni T.; Heydari V.</t>
  </si>
  <si>
    <t>Stranahan, John (57208130059); Soni, Tapan (57208134690); Heydari, Vahid (57191240715)</t>
  </si>
  <si>
    <t>57208130059; 57208134690; 57191240715</t>
  </si>
  <si>
    <t>Supervisory Control and Data Acquisition Testbed Vulnerabilities and Attacks</t>
  </si>
  <si>
    <t>Conference Proceedings - IEEE SOUTHEASTCON</t>
  </si>
  <si>
    <t>2019-April</t>
  </si>
  <si>
    <t>9020436</t>
  </si>
  <si>
    <t>10.1109/SoutheastCon42311.2019.9020436</t>
  </si>
  <si>
    <t>https://www.scopus.com/inward/record.uri?eid=2-s2.0-85082387278&amp;doi=10.1109%2fSoutheastCon42311.2019.9020436&amp;partnerID=40&amp;md5=1c44be50c2db871d211c9c5b4422e333</t>
  </si>
  <si>
    <t>Rowan University, Department of Computer Science, Glassboro, NJ, United States</t>
  </si>
  <si>
    <t>Stranahan J., Rowan University, Department of Computer Science, Glassboro, NJ, United States; Soni T., Rowan University, Department of Computer Science, Glassboro, NJ, United States; Heydari V., Rowan University, Department of Computer Science, Glassboro, NJ, United States</t>
  </si>
  <si>
    <t>Supervisory Control and Data Acquisition (SCADA) systems have been in use for many years. They are used to remotely monitor and control Industrial Control Systems (ICS) such as gas pipelines, power plants, train systems, and water treatment plants. In recent years, SCADA systems have been targets of malicious cyber-attacks. The standard communication protocol used within many SCADA systems, Modbus TCP/IP, is not secure. In this paper, we conduct cyber-attacks on a pre-implemented SCADA Testbed which uses the Modbus TCP/IP protocol to show the possible effects on real-world SCADA systems. © 2019 IEEE.</t>
  </si>
  <si>
    <t>Denial-of-service; ICS; Man-in-the-middle; Modbus; SCADA; Testbed</t>
  </si>
  <si>
    <t>Denial-of-service attack; Gas plants; Industrial water treatment; Network security; Testbeds; Transmission control protocol; Communications protocols; Cyber-attacks; Denial of Service; Industrial control systems; Man in the middle; Modbus; Monitor and control; Supervisory control and data acquisition; TCP/IP protocol; Train systems; SCADA systems</t>
  </si>
  <si>
    <t>10910050</t>
  </si>
  <si>
    <t>978-172810137-8</t>
  </si>
  <si>
    <t>CPISD</t>
  </si>
  <si>
    <t>Conf Proc IEEE SOUTHEASTCON</t>
  </si>
  <si>
    <t>2-s2.0-85082387278</t>
  </si>
  <si>
    <t>2025-07-21 20:53:50</t>
  </si>
  <si>
    <t>Poletykin A.</t>
  </si>
  <si>
    <t>Poletykin, Alexey (6506176312)</t>
  </si>
  <si>
    <t>6506176312</t>
  </si>
  <si>
    <t>Cyber security risk assessment method for scada of industrial control systems</t>
  </si>
  <si>
    <t>2018 International Russian Automation Conference, RusAutoCon 2018</t>
  </si>
  <si>
    <t>8501811</t>
  </si>
  <si>
    <t>10.1109/RUSAUTOCON.2018.8501811</t>
  </si>
  <si>
    <t>https://www.scopus.com/inward/record.uri?eid=2-s2.0-85057018033&amp;doi=10.1109%2fRUSAUTOCON.2018.8501811&amp;partnerID=40&amp;md5=2882d79d6ec14d23207da30f4faa695d</t>
  </si>
  <si>
    <t>V.A. Trapeznikov Institute of Control Sciences, Russian Academy of Sciences, I.V. Prangishvili Laboratory of Distributed Information and Analytical Control Systems, Moscow, Russian Federation</t>
  </si>
  <si>
    <t>Poletykin A., V.A. Trapeznikov Institute of Control Sciences, Russian Academy of Sciences, I.V. Prangishvili Laboratory of Distributed Information and Analytical Control Systems, Moscow, Russian Federation</t>
  </si>
  <si>
    <t>The cyber security formula-based risk evaluation method is outlined for using SCADA in Industrial Control System (ICS) of Critical National Infrastructure (CNI) plants. The main feature of the method is taking into account not only information security methods but all safety and security and reliability measures available. Another feature concerns assets definition by means of explicit and hidden functions for which damage values from feasible cyber-attacks are estimated. The method deals with the scales of order. An example of the scale is proposed for damage and risk values. The essence of the method, its application domain restrictions, the stages of risk management addressed, key risk management concepts covered are described in the paper. © 2018 IEEE.</t>
  </si>
  <si>
    <t>Cyber security; ICS; NPP; Risk analysis; Risk assessment methods; Risk management; SCADA</t>
  </si>
  <si>
    <t>Industrial plants; Integrated circuits; Intelligent control; Network security; Risk analysis; Risk management; SCADA systems; Cyber security; Industrial control systems; ITS applications; National infrastructure; Risk assessment methods; Risk evaluation; Safety and securities; SCADA; Risk assessment</t>
  </si>
  <si>
    <t>A. Poletykin; V.A. Trapeznikov Institute of Control Sciences, Russian Academy of Sciences, I.V. Prangishvili Laboratory of Distributed Information and Analytical Control Systems, Moscow, Russian Federation; email: poletik@ipu.ru</t>
  </si>
  <si>
    <t>978-153864938-1</t>
  </si>
  <si>
    <t>Int. Russ. Autom. Conf., RusAutoCon</t>
  </si>
  <si>
    <t>2-s2.0-85057018033</t>
  </si>
  <si>
    <t>2025-07-18 08:57:04</t>
  </si>
  <si>
    <t>Yrlmaz E.N.; Sayan H.H.; Üstünsoy F.; Gönen S.; Karacayilmaz G.</t>
  </si>
  <si>
    <t>Yrlmaz, Ercan Nurcan (57210582554); Sayan, H. Hüseyin (16310420900); Üstünsoy, Furkan (57210581832); Gönen, Serkan (57201743399); Karacayilmaz, Gökçe (57203142239)</t>
  </si>
  <si>
    <t>57210582554; 16310420900; 57210581832; 57201743399; 57203142239</t>
  </si>
  <si>
    <t>Cyber Security Analysis of DoS and MitM Attacks against PLCs Used in Smart Grids</t>
  </si>
  <si>
    <t>7th International Istanbul Smart Grids and Cities Congress and Fair, ICSG 2019 - Proceedings</t>
  </si>
  <si>
    <t>8782313</t>
  </si>
  <si>
    <t>10.1109/SGCF.2019.8782313</t>
  </si>
  <si>
    <t>https://www.scopus.com/inward/record.uri?eid=2-s2.0-85071019672&amp;doi=10.1109%2fSGCF.2019.8782313&amp;partnerID=40&amp;md5=dc622d52dc695f91429d09324a7e6de4</t>
  </si>
  <si>
    <t>Faculty of Technology, Gazi University, Ankara, 06500, Turkey; Gazi University, Institute of Natural and Applied Sciences, Ankara, 06500, Turkey; Gazi University, Institute of Informatics, Ankara, 06680, Turkey</t>
  </si>
  <si>
    <t>Yrlmaz E.N., Faculty of Technology, Gazi University, Ankara, 06500, Turkey; Sayan H.H., Faculty of Technology, Gazi University, Ankara, 06500, Turkey; Üstünsoy F., Gazi University, Institute of Natural and Applied Sciences, Ankara, 06500, Turkey; Gönen S., Gazi University, Institute of Natural and Applied Sciences, Ankara, 06500, Turkey; Karacayilmaz G., Gazi University, Institute of Informatics, Ankara, 06680, Turkey</t>
  </si>
  <si>
    <t>It is obvious that the use of ICS will increase in view of the fact that smart grid systems are rapidly spreading and the concept of smart cities will spread throughout the world in the future projection. Due to business continuity, management control and efficiency, intranet and especially internet network system architecture are now being used in smart network and smart cities instead of isolated network topology. However, this transition has brought emerged with vital vulnerabilities. However, not using security software in ICS in general for the reason that they may hamper business continuity is attracting cyber criminals. On the other hand, the systems being controlled by ICS are performing very vital functions, so the attacks on these systems will have fatal consequences. In this study, the vulnerabilities of ICS, an important component in the management of smart grids, were analyzed. In this context, in the study, denial of service and information disclosure attacks were carried out on two different brands (Siemens and Schneider) real PLCs for examining negative and positive aspects of the PLCs in terms of cyber security weakness. © 2019 IEEE.</t>
  </si>
  <si>
    <t>Denial of Service; industrial control systems; Man in the Middle; PLC security; Smart Grids; vulnerability analysis</t>
  </si>
  <si>
    <t>Carrier transmission on power lines; Control system analysis; Electric power transmission networks; Intelligent control; Man machine systems; Smart city; Smart power grids; Denial of Service; Industrial control systems; Man in the middle; Smart grid; Vulnerability analysis; Denial-of-service attack</t>
  </si>
  <si>
    <t>Cetin A.</t>
  </si>
  <si>
    <t>978-172811315-9</t>
  </si>
  <si>
    <t>Int. Istanbul Smart Grids Cities Congr. Fair, ICSG - Proc.</t>
  </si>
  <si>
    <t>2-s2.0-85071019672</t>
  </si>
  <si>
    <t>2025-07-31 12:51:28</t>
  </si>
  <si>
    <t>Supervisory control and data acquisition testbed for research and education</t>
  </si>
  <si>
    <t>2019 IEEE 9th Annual Computing and Communication Workshop and Conference, CCWC 2019</t>
  </si>
  <si>
    <t>8666482</t>
  </si>
  <si>
    <t>10.1109/CCWC.2019.8666482</t>
  </si>
  <si>
    <t>https://www.scopus.com/inward/record.uri?eid=2-s2.0-85063890001&amp;doi=10.1109%2fCCWC.2019.8666482&amp;partnerID=40&amp;md5=3e1ffd4b27f6822abe89a68bb1ed815c</t>
  </si>
  <si>
    <t>Department of Computer Science, Rowan University, Glassboro, NJ, United States</t>
  </si>
  <si>
    <t>Stranahan J., Department of Computer Science, Rowan University, Glassboro, NJ, United States; Soni T., Department of Computer Science, Rowan University, Glassboro, NJ, United States; Heydari V., Department of Computer Science, Rowan University, Glassboro, NJ, United States</t>
  </si>
  <si>
    <t>Supervisory Control and Data Acquisition (SCADA) systems have been in use for decades. They provide remote management and monitoring capabilities for Industrial Control Systems (ICS) such as power plants, trains, water treatment plants, dams, and many other applications. In recent years, SCADA systems have been targets by cyber-attackers. The Mod-bus TCP/IP protocol which is a standard communication protocol, used by many SCADA systems for network communication, is not secure. In this paper, a design and implementation of a custom SCADA testbed to provide an active hands-on environment, is proposed. It's goal is to sparks students' enthusiasm for learning and build a strong foundation that will lead to further interest in the subject matter. This project was completed by two undergraduate students over six months and the total materials budget was less than $6,000.00. It is a good example for other schools who are interested in having a cost-effective custom ICS testbed for research and educational purposes. © 2019 IEEE.</t>
  </si>
  <si>
    <t>ICS; Modbus; SCADA; Testbed</t>
  </si>
  <si>
    <t>Budget control; Cost effectiveness; Industrial plants; Industrial water treatment; Integrated circuits; Intelligent control; Network security; Students; Testbeds; Design and implementations; Industrial control systems; Modbus; Monitoring capabilities; SCADA; Supervisory control and data acquisition; Supervisory control and dataacquisition systems (SCADA); Undergraduate students; SCADA systems</t>
  </si>
  <si>
    <t>Chakrabarti S.; Saha H.N.</t>
  </si>
  <si>
    <t>978-172810554-3</t>
  </si>
  <si>
    <t>IEEE Annu. Comput. Commun. Workshop Conf., CCWC</t>
  </si>
  <si>
    <t>2-s2.0-85063890001</t>
  </si>
  <si>
    <t>2025-07-21 20:55:14</t>
  </si>
  <si>
    <t>Not SCADA threats</t>
  </si>
  <si>
    <t>Chaudhry J.; Qidwai U.; Miraz M.H.</t>
  </si>
  <si>
    <t>Chaudhry, Junaid (15020447100); Qidwai, Uvais (6602234511); Miraz, Mahdi H. (43261770700)</t>
  </si>
  <si>
    <t>15020447100; 6602234511; 43261770700</t>
  </si>
  <si>
    <t>Securing Big Data from Eavesdropping Attacks in SCADA/ICS Network Data Streams through Impulsive Statistical Fingerprinting</t>
  </si>
  <si>
    <t>Lecture Notes of the Institute for Computer Sciences, Social-Informatics and Telecommunications Engineering, LNICST</t>
  </si>
  <si>
    <t>285</t>
  </si>
  <si>
    <t>10.1007/978-3-030-23943-5_6</t>
  </si>
  <si>
    <t>https://www.scopus.com/inward/record.uri?eid=2-s2.0-85070574048&amp;doi=10.1007%2f978-3-030-23943-5_6&amp;partnerID=40&amp;md5=bb8ea40bccf6335b5c2c4378f739659e</t>
  </si>
  <si>
    <t>Duja Inc., Perth, Australia; Qatar University, Doha, Qatar; The Chinese University of Hong Kong, Shatin, Hong Kong; Wrexham Glyndŵr University, Wrexham, United Kingdom</t>
  </si>
  <si>
    <t>Chaudhry J., Duja Inc., Perth, Australia; Qidwai U., Qatar University, Doha, Qatar; Miraz M.H., The Chinese University of Hong Kong, Shatin, Hong Kong, Wrexham Glyndŵr University, Wrexham, United Kingdom</t>
  </si>
  <si>
    <t>While data from Supervisory Control And Data Acquisition (SCADA) systems is sent upstream, it is both the length of pulses as well as their frequency present an excellent opportunity to incorporate statistical fingerprinting. This is so, because datagrams in SCADA traffic follow a poison distribution. Although wrapping the SCADA traffic in a protective IPsec stream is an obvious choice, thin clients and unreliable communication channels make is less than ideal to use cryptographic solutions for security SCADA traffic. In this paper, we propose a smart alternative of data obfuscation in the form of Impulsive Statistical Fingerprinting (ISF). We provide important insights into our research in healthcare SCADA data security and the use of ISF. We substantiate the conversion of sensor data through the ISF into HL7 format and define policies of a seamless switch to a non HL7-based non-secure HIS to a secure HIS. © 2019, ICST Institute for Computer Sciences, Social Informatics and Telecommunications Engineering.</t>
  </si>
  <si>
    <t>Context-aware security; Cyber security; Data obfuscation; Encryption; Health Level Seven; Healthcare SCADA systems; IEEE 11073; Impulsive Statistical Fingerprinting; SCADA/ICS networks</t>
  </si>
  <si>
    <t>Big data; Cryptography; Health care; SCADA systems; Context-Aware; Cyber security; Data obfuscation; IEEE 11073; Impulsive Statistical Fingerprinting; Network security</t>
  </si>
  <si>
    <t>M.H. Miraz; The Chinese University of Hong Kong, Shatin, Hong Kong; email: m.miraz@ieee.org</t>
  </si>
  <si>
    <t>Miraz M.H.; Excell P.S.; Ware A.; Soomro S.; Ali M.</t>
  </si>
  <si>
    <t>Springer Verlag</t>
  </si>
  <si>
    <t>18678211</t>
  </si>
  <si>
    <t>978-303023942-8</t>
  </si>
  <si>
    <t>Lect. Notes Inst. Comput. Sci. Soc. Informatics Telecommun. Eng.</t>
  </si>
  <si>
    <t>2-s2.0-85070574048</t>
  </si>
  <si>
    <t>2025-09-29 12:16:51</t>
  </si>
  <si>
    <t>Rosa L.; Freitas M.; Mazo S.; Monteiro E.; Cruz T.; Simoes P.</t>
  </si>
  <si>
    <t>Rosa, Luis (57189322161); Freitas, Miguel (57205744599); Mazo, Sergey (57208440982); Monteiro, Edmundo (7102113849); Cruz, Tiago (36974929400); Simoes, Paulo (57203241452)</t>
  </si>
  <si>
    <t>57189322161; 57205744599; 57208440982; 7102113849; 36974929400; 57203241452</t>
  </si>
  <si>
    <t>A Comprehensive Security Analysis of a SCADA Protocol: From OSINT to Mitigation</t>
  </si>
  <si>
    <t>7</t>
  </si>
  <si>
    <t>6287639</t>
  </si>
  <si>
    <t>10.1109/ACCESS.2019.2906926</t>
  </si>
  <si>
    <t>https://www.scopus.com/inward/record.uri?eid=2-s2.0-85064831141&amp;doi=10.1109%2fACCESS.2019.2906926&amp;partnerID=40&amp;md5=d73ca6c7c57b309f5799c6081c54a49a</t>
  </si>
  <si>
    <t>Centre for Informatics and Systems, University of Coimbra, Coimbra, 3030-290, Portugal; Israel Electric Corporation, Haifa, 31000, Israel</t>
  </si>
  <si>
    <t>Rosa L., Centre for Informatics and Systems, University of Coimbra, Coimbra, 3030-290, Portugal; Freitas M., Centre for Informatics and Systems, University of Coimbra, Coimbra, 3030-290, Portugal; Mazo S., Israel Electric Corporation, Haifa, 31000, Israel; Monteiro E., Centre for Informatics and Systems, University of Coimbra, Coimbra, 3030-290, Portugal; Cruz T., Centre for Informatics and Systems, University of Coimbra, Coimbra, 3030-290, Portugal; Simoes P., Centre for Informatics and Systems, University of Coimbra, Coimbra, 3030-290, Portugal</t>
  </si>
  <si>
    <t>It is an established fact that the security of Industrial Automation and Control Systems (IACS) strongly depends on the robustness of the underlying supervisory control and data acquisition (SCADA) network protocols (among other factors). This becomes especially evident when considering the extent to which certain protocols, designed with poor or nonexistent security mechanisms, have led to a considerable number of past incident reports affecting critical infrastructures and essential services. Considering the current situation, it is rather obvious why the proper auditing and analysis of SCADA protocols are considered as key when it comes to design and/or protect IACS infrastructures. However, while the security of some protocols, such as Modbus or DNP3, has already been extensively analyzed, the same cannot be said for other protocols and technologies being used in the same domain that have not received the same amount of attention. In this paper, we provide a comprehensive security analysis of the PCOM SCADA protocol, including a dissection of PCOM, a demonstration of several attacks scenarios on PCOM-based systems, and also an analysis of possible mitigation strategies against these potential attacks. Moreover, this paper also describes a number of open-source tools that we developed for further analysis and research of PCOM security aspects, including a PCOM Wireshark dissector, a Nmap NSE PCOM scan, multiple Metasploit PCOM modules, a set of Snort PCOM rules, and several network traffic datasets containing multiple samples of different types of PCOM operations. © 2013 IEEE.</t>
  </si>
  <si>
    <t>IACS; ICS; PCOM; SCADA; security</t>
  </si>
  <si>
    <t>Integrated circuits; Intelligent control; Network protocols; Robustness (control systems); SCADA systems; Security systems; Essential services; IACS; Industrial automation and control systems; Mitigation strategy; PCOM; SCADA; security; Supervisory control and data acquisition; Network security</t>
  </si>
  <si>
    <t>L. Rosa; Centre for Informatics and Systems, University of Coimbra, Coimbra, 3030-290, Portugal; email: lmrosa@dei.uc.pt</t>
  </si>
  <si>
    <t>2-s2.0-85064831141</t>
  </si>
  <si>
    <t>2025-07-22 10:30:22</t>
  </si>
  <si>
    <t>ContainsThreats: PCOM</t>
  </si>
  <si>
    <t>Ylmaz E.N.; Ciylan B.; Gönen S.; Sindiren E.; Karacayilmaz G.</t>
  </si>
  <si>
    <t>Ylmaz, Ercan Nurcan (56469924100); Ciylan, Bunyamin (6504223643); Gönen, Serkan (57201743399); Sindiren, Erhan (57203142641); Karacayilmaz, Gökçe (57203142239)</t>
  </si>
  <si>
    <t>56469924100; 6504223643; 57201743399; 57203142641; 57203142239</t>
  </si>
  <si>
    <t>Cyber security in industrial control systems: Analysis of DoS attacks against PLCs and the insider effect</t>
  </si>
  <si>
    <t>Proceedings - 2018 6th International Istanbul Smart Grids and Cities Congress and Fair, ICSG 2018</t>
  </si>
  <si>
    <t>10.1109/SGCF.2018.8408947</t>
  </si>
  <si>
    <t>https://www.scopus.com/inward/record.uri?eid=2-s2.0-85050660953&amp;doi=10.1109%2fSGCF.2018.8408947&amp;partnerID=40&amp;md5=83ce374728595c0745e8c0aafc9d602d</t>
  </si>
  <si>
    <t>Gazi University, Faculty of Technology, Ankara, Turkey; Gazi University, Institute of Natural and Applied Sciences, Ankara, Turkey; Gazi University, Institute of Informatics, Ankara, Turkey</t>
  </si>
  <si>
    <t>Ylmaz E.N., Gazi University, Faculty of Technology, Ankara, Turkey; Ciylan B., Gazi University, Faculty of Technology, Ankara, Turkey; Gönen S., Gazi University, Institute of Natural and Applied Sciences, Ankara, Turkey; Sindiren E., Gazi University, Institute of Informatics, Ankara, Turkey; Karacayilmaz G., Gazi University, Institute of Informatics, Ankara, Turkey</t>
  </si>
  <si>
    <t>Industrial Control Systems (ICS) are vital for countries' smart grids and critical infrastructures. In addition to the advantages such as controlling and monitoring geographically distributed structures, increasing productivity and efficiency, ICS have brought some security problems. Specific solutions are needed to be produced for these security issues. The most important information security component for ICS is availability and the most devastating threat to this component is Denial of Service (DoS) attack. For this reason, DoS attacks carried out on Programmable Logic Controllers (PLC), an important component of ICS, have been analyzed in the paper. In the test environment where attack scenarios were implemented, real PLC devices were used in order to get the most accurate results. The destructive effects of insiders, particularly in the case of cyber attacks against ICS, in bypassing the system security measure and discovery phase also emphasized in the paper. © 2018 IEEE.</t>
  </si>
  <si>
    <t>Denial of service; industrial control systems; insider attacks; PLC security; vulnerability analysis</t>
  </si>
  <si>
    <t>Carrier transmission on power lines; Control system analysis; Electric power transmission networks; Intelligent control; Network security; Programmable logic controllers; Smart power grids; Denial of Service; Destructive effects; Distributed structures; Industrial control systems; Insider attack; Programmable Logic Controller (PLC); Security problems; Vulnerability analysis; Denial-of-service attack</t>
  </si>
  <si>
    <t>Camurcu A.Y.; Cetin A.</t>
  </si>
  <si>
    <t>978-153864478-2</t>
  </si>
  <si>
    <t>Proc. - Int. Istanbul Smart Grids Cities Congr. Fair, ICSG</t>
  </si>
  <si>
    <t>2-s2.0-85050660953</t>
  </si>
  <si>
    <t>2025-07-22 09:08:47</t>
  </si>
  <si>
    <t>Low Quality, Not Threat Modelling</t>
  </si>
  <si>
    <t>Mashkina I.; Garipov I.</t>
  </si>
  <si>
    <t>Mashkina, Irina (36561813800); Garipov, Ildar (57204764132)</t>
  </si>
  <si>
    <t>36561813800; 57204764132</t>
  </si>
  <si>
    <t>Threats modeling and quantitative risk analysis in industrial control systems</t>
  </si>
  <si>
    <t>8501694</t>
  </si>
  <si>
    <t>10.1109/RUSAUTOCON.2018.8501694</t>
  </si>
  <si>
    <t>https://www.scopus.com/inward/record.uri?eid=2-s2.0-85056997970&amp;doi=10.1109%2fRUSAUTOCON.2018.8501694&amp;partnerID=40&amp;md5=a0b46058defa205f6f13712016182957</t>
  </si>
  <si>
    <t>Ufa State Aviation Technical University, Ufa, Russian Federation</t>
  </si>
  <si>
    <t>Mashkina I., Ufa State Aviation Technical University, Ufa, Russian Federation; Garipov I., Ufa State Aviation Technical University, Ufa, Russian Federation</t>
  </si>
  <si>
    <t>In the article the Industrial Control System (ICS) is considered as a protection object. Nowadays ICSs are widely used in different industries to automate and control process operations. It is adjusted that Ethernet and wireless connection are most used methods to connect supervisory control and data acquisition (SCADA) system server with devices, besides Windows operating systems are also used. Thence, an ICS is susceptible to numerous attacks because there are a considerable number of vulnerabilities in SCADA systems software, operating systems and communication protocols. In order to understand how ICS computers and servers will be compromised, how to protect resources the necessity to develop a model of threats to the ICS information assets is determined. The model of information security threats in the form of a cognitive map is proposed. The assets to be protected in ICSs are identified. The possible sources of attacks to important assets are defined. An exposure of the ICS infrastructure, namely, the vulnerabilities associated with each attack penetrating path are discovered. The method of a quantitative analysis of information security risk assessment is applied to the ICS infrastructure. © 2018 IEEE.</t>
  </si>
  <si>
    <t>Attack; Cognitive map; Industrial Control System; Information security risk; Information Security System; Threats model; Vulnerability</t>
  </si>
  <si>
    <t>Cognitive systems; Control system analysis; Risk analysis; Risk assessment; SCADA systems; Security of data; Security systems; Windows operating system; Attack; Cognitive maps; Industrial control systems; Information security risks; Vulnerability; Intelligent control</t>
  </si>
  <si>
    <t>2-s2.0-85056997970</t>
  </si>
  <si>
    <t>2025-07-18 08:56:40</t>
  </si>
  <si>
    <t>Potluri S.; Diedrich C.</t>
  </si>
  <si>
    <t>Potluri, Sasanka (52663936000); Diedrich, Christian (7004886002)</t>
  </si>
  <si>
    <t>52663936000; 7004886002</t>
  </si>
  <si>
    <t>Deep learning based efficient anomaly detection for securing process control systems against injection attacks</t>
  </si>
  <si>
    <t>8843140</t>
  </si>
  <si>
    <t>10.1109/COASE.2019.8843140</t>
  </si>
  <si>
    <t>https://www.scopus.com/inward/record.uri?eid=2-s2.0-85072990321&amp;doi=10.1109%2fCOASE.2019.8843140&amp;partnerID=40&amp;md5=ab83a3295077bff3f3f25cdebfb846d9</t>
  </si>
  <si>
    <t>Institute for Automation Engineering, Otto-von-Guericke University Magdeburg, Magdeburg, 39106, Germany</t>
  </si>
  <si>
    <t>Potluri S., Institute for Automation Engineering, Otto-von-Guericke University Magdeburg, Magdeburg, 39106, Germany; Diedrich C., Institute for Automation Engineering, Otto-von-Guericke University Magdeburg, Magdeburg, 39106, Germany</t>
  </si>
  <si>
    <t>Modern Industrial Control Systems (ICS) represent a wide variety of networked infrastructure connected to physical world. Depending on the application, these control systems are termed as Process Control Systems (PCS), Supervisory Control and Data Acquisition (SCADA) systems, Distributed Control Systems (DCS) or Cyber Physical Systems (CPS). ICS are designed for reliability; but security especially against cyber threats, is also a critical need. In particular, an intruder can inject false data to disrupt the system operation. Existing approaches are not satisfactory as novel attacks against critical industries are frequently identified. Despite significant effort and progress, attacks continue to evolve. Anomaly-based detection approaches are used to detect attacks that features the injection of spurious measurement data and proven to be efficient. In this paper, we develop injection attack detection system that uses deep learning algorithms such as stacked auto encoders and deep belief networks that are tailored to identify different types of injection attacks. A model plant is used to obtain different data such as sensor and actuator measurements and specific attacks were injected into the data. The injected attacks vary in behaviour for training and testing of the proposed schema. Performance metrics to evaluate the efficiency of the proposed anomaly detection approach is presented. © 2019 IEEE.</t>
  </si>
  <si>
    <t>Anomaly detection; Distributed parameter control systems; Embedded systems; Intelligent control; Learning algorithms; Network security; Networked control systems; Process control; SCADA systems; Anomaly based detection; Cyber-physical systems (CPS); Deep belief networks; Industrial control systems; Sensor and actuators; Spurious measurements; Supervisory control and dataacquisition systems (SCADA); Training and testing; Deep learning</t>
  </si>
  <si>
    <t>978-172810355-6</t>
  </si>
  <si>
    <t>2-s2.0-85072990321</t>
  </si>
  <si>
    <t>2025-10-01 14:11:58</t>
  </si>
  <si>
    <t>Hu Y.; Sun Y.; Wang Y.; Wang Z.</t>
  </si>
  <si>
    <t>Hu, Yan (56377936800); Sun, Yuyan (56174888400); Wang, Youcheng (56042369500); Wang, Zhiliang (55880036500)</t>
  </si>
  <si>
    <t>56377936800; 56174888400; 56042369500; 55880036500</t>
  </si>
  <si>
    <t>An Enhanced Multi-Stage Semantic Attack against Industrial Control Systems</t>
  </si>
  <si>
    <t>8883158</t>
  </si>
  <si>
    <t>10.1109/ACCESS.2019.2949645</t>
  </si>
  <si>
    <t>https://www.scopus.com/inward/record.uri?eid=2-s2.0-85074730790&amp;doi=10.1109%2fACCESS.2019.2949645&amp;partnerID=40&amp;md5=934d84dfb19ee147d17ae6389daee8dc</t>
  </si>
  <si>
    <t>School of Computer and Communication Engineering, University of Science and Technology Beijing, Beijing, 100083, China; Beijing Key Laboratory of IoT Information Security, Institute of Information Engineering, Chinese Academy of Sciences, Beijing, 100195, China; School of Cyber Security, University of Chinese Academy of Sciences, Beijing, 100195, China; Science and Technology on Complex System Control and Intelligent Agent Cooperation Laboratory, Beijing Electro-Mechanical Engineering Institute, Beijing, 100074, China</t>
  </si>
  <si>
    <t>Hu Y., School of Computer and Communication Engineering, University of Science and Technology Beijing, Beijing, 100083, China; Sun Y., Beijing Key Laboratory of IoT Information Security, Institute of Information Engineering, Chinese Academy of Sciences, Beijing, 100195, China, School of Cyber Security, University of Chinese Academy of Sciences, Beijing, 100195, China; Wang Y., Science and Technology on Complex System Control and Intelligent Agent Cooperation Laboratory, Beijing Electro-Mechanical Engineering Institute, Beijing, 100074, China; Wang Z., School of Computer and Communication Engineering, University of Science and Technology Beijing, Beijing, 100083, China</t>
  </si>
  <si>
    <t>Industrial Control Systems (ICS) play a very important role in national critical infrastructures. However, the growing interaction between the modern ICS and the Internet has made ICS more vulnerable to cyber attacks. In order to protect ICS from malicious attacks, intrusion detection technology emerges. By analyzing the network meta data or the industrial process data, Intrusion Detection Systems (IDS) can identify attacks that violate communication protocols or system specifications. However, the existing intrusion detection technology is not omnipotent, which opens up a back door for some more advanced attacks. In this work, we design an enhanced multi-stage semantic attack against ICS, which is undetectable by existing IDS. By hijacking the communication channels between the Human Machine Interface (HMI) and the remote Programmable Logic Controllers (PLCs), the attacker can manipulate the measurement data and control instructions simultaneously. The fake measurement data deceives the human operator into making wrong decisions. Furthermore, the attacker can strategically manipulate the semantic meaning of control instructions according to system state transition rules. In the meanwhile, a fake view of measurement data is presented to the HMI to conceal the on-going malicious attack. This attack is totally stealthy since the message sizes and timing, the command sequences, and the system state values are all legitimate. Consequently, this attack can secretly bring the system into critical states. Experimental results have verified the strong attack ability of the proposed attack. © 2013 IEEE.</t>
  </si>
  <si>
    <t>Industrial control systems; multi-stage semantic attacks; state transition; stealthy attacks</t>
  </si>
  <si>
    <t>Computer crime; Control systems; Flow control; Intrusion detection; Man machine systems; Network security; Programmable logic controllers; Semantics; Specifications; Human Machine Interface; Industrial control systems; Intrusion Detection Systems; Intrusion detection technologies; Semantic attacks; State transitions; stealthy attacks; System specification; Intelligent control</t>
  </si>
  <si>
    <t>Y. Hu; School of Computer and Communication Engineering, University of Science and Technology Beijing, Beijing, 100083, China; email: huyan@ustb.edu.cn</t>
  </si>
  <si>
    <t>2-s2.0-85074730790</t>
  </si>
  <si>
    <t>2025-10-01 15:07:34</t>
  </si>
  <si>
    <t>ContainsThreats: A review</t>
  </si>
  <si>
    <t>Qassim Q.S.; Jamil N.; Jidin R.; Rusli M.E.; Ahmad Zawawi M.N.; Jamaludin M.Z.; Z'aba M.R.; Kamarulzaman W.A.W.</t>
  </si>
  <si>
    <t>Qassim, Qais Saif (36613541700); Jamil, Norziana (36682671900); Jidin, Razali (6508169028); Rusli, Mohd Ezanee (16246214600); Ahmad Zawawi, Md Nabil (56997510600); Jamaludin, Md Zaini (57216839721); Z'aba, Muhammad Reza (24726154700); Kamarulzaman, Wan Azlan Wan (6505975029)</t>
  </si>
  <si>
    <t>36613541700; 36682671900; 6508169028; 16246214600; 56997510600; 57216839721; 24726154700; 6505975029</t>
  </si>
  <si>
    <t>A review: Towards practical attack taxonomy for industrial control systems</t>
  </si>
  <si>
    <t>International Journal of Engineering and Technology(UAE)</t>
  </si>
  <si>
    <t>2.14 Special Issue  14</t>
  </si>
  <si>
    <t>https://www.scopus.com/inward/record.uri?eid=2-s2.0-85081740610&amp;partnerID=40&amp;md5=5d99888c80ef8e5295b4e022f92a4ba4</t>
  </si>
  <si>
    <t>Institute of Informatics and Computing in Energy, Universiti Tenaga Nasional, Selangor, Malaysia; College of Computer Science and Information Technology, Universiti Tenaga Nasional, Selangor, Malaysia; Faculty of Computer Science and Information Technology, University of Malaya, Kuala Lumpur, Malaysia; Tenaga Nasional Berhad, Malaysia</t>
  </si>
  <si>
    <t>Qassim Q.S., Institute of Informatics and Computing in Energy, Universiti Tenaga Nasional, Selangor, Malaysia; Jamil N., Institute of Informatics and Computing in Energy, Universiti Tenaga Nasional, Selangor, Malaysia, College of Computer Science and Information Technology, Universiti Tenaga Nasional, Selangor, Malaysia; Jidin R., Institute of Informatics and Computing in Energy, Universiti Tenaga Nasional, Selangor, Malaysia; Rusli M.E., Institute of Informatics and Computing in Energy, Universiti Tenaga Nasional, Selangor, Malaysia, College of Computer Science and Information Technology, Universiti Tenaga Nasional, Selangor, Malaysia; Ahmad Zawawi M.N., Institute of Informatics and Computing in Energy, Universiti Tenaga Nasional, Selangor, Malaysia, College of Computer Science and Information Technology, Universiti Tenaga Nasional, Selangor, Malaysia; Jamaludin M.Z., Institute of Informatics and Computing in Energy, Universiti Tenaga Nasional, Selangor, Malaysia; Z'aba M.R., Faculty of Computer Science and Information Technology, University of Malaya, Kuala Lumpur, Malaysia; Kamarulzaman W.A.W., Tenaga Nasional Berhad, Malaysia</t>
  </si>
  <si>
    <t>Supervisory Control and Data Acquisition (SCADA) system is the underlying control system of most national critical infrastructures such as power, energy, water, transportation and telecommunication. In order to understand the potential threats to these infrastructures and the mechanisms to protect them, different types of cyber-attacks applicable to these infrastructures need to be identified. Therefore, there is a significant need to have a comprehensive understanding of various types of cyber-attacks and its classification associated with both Opera-tion Technology (OT) and Information Technology (IT). This paper presents a comprehensive review of existing cyber-attack taxonomies available in the literature and evaluates these taxonomies based on defined criteria. © 2018 Qais Saif Qassim et. al.</t>
  </si>
  <si>
    <t>Cyber-attack; SCADA; Taxonomy</t>
  </si>
  <si>
    <t>Q.S. Qassim; Institute of Informatics and Computing in Energy, Universiti Tenaga Nasional, Selangor, Malaysia; email: qaissaif@uniten.edu.my</t>
  </si>
  <si>
    <t>Science Publishing Corporation Inc</t>
  </si>
  <si>
    <t>2227524X</t>
  </si>
  <si>
    <t>Int. J. Eng. Technol.</t>
  </si>
  <si>
    <t>2-s2.0-85081740610</t>
  </si>
  <si>
    <t>2025-07-22 09:09:44</t>
  </si>
  <si>
    <t>Kim S.; Shin J.; Heo G.; Song J.G.</t>
  </si>
  <si>
    <t>Kim, S. (57216807581); Shin, J. (55574418500); Heo, G. (8934697200); Song, J.G. (23095913700)</t>
  </si>
  <si>
    <t>57216807581; 55574418500; 8934697200; 23095913700</t>
  </si>
  <si>
    <t>A systematic classification scheme for cyber-attack taxonomy</t>
  </si>
  <si>
    <t>Safety and Reliability - Safe Societies in a Changing World - Proceedings of the 28th International European Safety and Reliability Conference, ESREL 2018</t>
  </si>
  <si>
    <t>https://www.scopus.com/inward/record.uri?eid=2-s2.0-85058119051&amp;partnerID=40&amp;md5=26f67b4458942c1d51e16b10c27e99b2</t>
  </si>
  <si>
    <t>Department of Nuclear Engineering, Kyung Hee University, Gyunggi, South Korea; Nuclear ICT Research Division, Korea Atomic Energy Research Institute, Daejeon, South Korea</t>
  </si>
  <si>
    <t>Kim S., Department of Nuclear Engineering, Kyung Hee University, Gyunggi, South Korea; Shin J., Department of Nuclear Engineering, Kyung Hee University, Gyunggi, South Korea; Heo G., Department of Nuclear Engineering, Kyung Hee University, Gyunggi, South Korea; Song J.G., Nuclear ICT Research Division, Korea Atomic Energy Research Institute, Daejeon, South Korea</t>
  </si>
  <si>
    <t>Development of digital and network technology has led to a big change in the industry, especially in ICS (Industrial Control System) and SCADA (Supervisory Control And Data Acquisition) system. The components of analogue in facilities are changed into digital components and new facilities of ICS and SCADA systems are composed of various digital instrumentation and control systems. Because of these changes, the security of ICS and SCADA system became an important factor in the industry. Nevertheless, there are few researches on cyber-attack taxonomy for ICS and SCADA systems. Even though some papers and researches suggested a cyber-attack taxonomy, it was not enough or comprehensive for industrial oriented ICS and SCADA systems. Therefore, in this paper, the classification scheme is proposed to classify the cyber-attack taxonomy of PLC (Programmable Logic Controller), DCS (Distributed Control System), and network equipment, which are core components of ICS and SCADA systems. In this paper, cyber-attack is subdivided into foot printing/scanning, password cracking, spoofing, sniffing, hijacking, MITM (Man In The Middle), virus, DoS (Denial of Service), backdoor installation, and hiding files. These ten cyber-attack categories are related with cyber-attack scenario, which is composed of prior preparation, gaining access, maintaining access, and clearing tracks. The grouped categories mentioned above were subdivided according to the characteristics and principles of cyber-attack. The subdivided cyber-attack access path is classified into physical/network, internal/external, and accidental/intentional access. After that, the detailed method of access is investigated. The consequences that can be caused by cyber-attacks are defined as disclosure, modification, destruction, and interruption. Finally, the prevention and mitigation of cyber-attack suggested the specific ways to reduce or escape the damage of cyber-attack consequence. © 2018 Taylor &amp; Francis Group, London.</t>
  </si>
  <si>
    <t>Crime; Denial-of-service attack; Distributed parameter control systems; Network security; Reliability; SCADA systems; Taxonomies; Viruses; Classification scheme; DCS(distributed control system); Digital components; Digital instrumentation; Industrial control systems; Network technologies; PLC (programmable logic controller); Supervisory control and data acquisition; Intelligent control</t>
  </si>
  <si>
    <t>van Gulijk C.; Haugen S.; Barros A.; Vinnem J.E.; Kongsvik T.</t>
  </si>
  <si>
    <t>CRC Press/Balkema</t>
  </si>
  <si>
    <t>978-081538682-7</t>
  </si>
  <si>
    <t>Saf. Reliab. - Safe Soc. Chang. World - Proc. Int. Eur. Saf. Reliab. Conf.</t>
  </si>
  <si>
    <t>2-s2.0-85058119051</t>
  </si>
  <si>
    <t>2025-07-22 09:09:13</t>
  </si>
  <si>
    <t>ContainsThreats: S7</t>
  </si>
  <si>
    <t>Martín-Liras L.; Prada M.A.; Fuertes J.J.; Morán A.; Alonso S.; Domínguez M.</t>
  </si>
  <si>
    <t>Martín-Liras, Luis (57196437246); Prada, Miguel A. (23397997700); Fuertes, Juan J. (15925163800); Morán, Antonio (55595803800); Alonso, Serafín (36607362400); Domínguez, Manuel (57204033757)</t>
  </si>
  <si>
    <t>57196437246; 23397997700; 15925163800; 55595803800; 36607362400; 57204033757</t>
  </si>
  <si>
    <t>Comparative analysis of the security of configuration protocols for industrial control devices</t>
  </si>
  <si>
    <t>10.1016/j.ijcip.2017.10.001</t>
  </si>
  <si>
    <t>https://www.scopus.com/inward/record.uri?eid=2-s2.0-85033227217&amp;doi=10.1016%2fj.ijcip.2017.10.001&amp;partnerID=40&amp;md5=c63387e91cd51f5329166a446a38943d</t>
  </si>
  <si>
    <t>Instituto de Automática y Fabricación, Universidad de León, Campus de Vegazana s/n, León, 24007, Spain; Grupo de Investigación en Supervisión, Control y Automatización de Procesos Industriales (SUPPRESS), Escuela de Ingenierías Industrial e Informática, Universidad de León, Campus de Vegazana s/n, León, 24007, Spain</t>
  </si>
  <si>
    <t>Martín-Liras L., Instituto de Automática y Fabricación, Universidad de León, Campus de Vegazana s/n, León, 24007, Spain; Prada M.A., Grupo de Investigación en Supervisión, Control y Automatización de Procesos Industriales (SUPPRESS), Escuela de Ingenierías Industrial e Informática, Universidad de León, Campus de Vegazana s/n, León, 24007, Spain; Fuertes J.J., Grupo de Investigación en Supervisión, Control y Automatización de Procesos Industriales (SUPPRESS), Escuela de Ingenierías Industrial e Informática, Universidad de León, Campus de Vegazana s/n, León, 24007, Spain; Morán A., Grupo de Investigación en Supervisión, Control y Automatización de Procesos Industriales (SUPPRESS), Escuela de Ingenierías Industrial e Informática, Universidad de León, Campus de Vegazana s/n, León, 24007, Spain; Alonso S., Grupo de Investigación en Supervisión, Control y Automatización de Procesos Industriales (SUPPRESS), Escuela de Ingenierías Industrial e Informática, Universidad de León, Campus de Vegazana s/n, León, 24007, Spain; Domínguez M., Grupo de Investigación en Supervisión, Control y Automatización de Procesos Industriales (SUPPRESS), Escuela de Ingenierías Industrial e Informática, Universidad de León, Campus de Vegazana s/n, León, 24007, Spain</t>
  </si>
  <si>
    <t>Industrial control systems present security challenges, especially protocols that do not have security features and legacy systems that are often unpatched. Although the security of open standard protocols such as Modbus TCP has been extensively researched, relatively few efforts have focused on the security aspects of vendor-specific protocols and protocol extensions. These protocols, which also lack security measures like their standard counterparts, are used to configure and manage programmable logic controllers – they are, therefore, critical to the safe and secure operation of industrial control systems and the critical infrastructure assets they manage. Indeed, an adversary who exploits one of these protocols could perform actions such as starting and stopping programmable logic controllers, and modifying their configurations and their programs (i.e., their behavior). This paper analyzes the security of programmable logic controller configuration protocols. The comparative analysis leverages a testbed that includes programmable logic controllers from different manufacturers. The results include structured descriptions of feasible attacks and possible countermeasures. © 2017 Elsevier B.V.</t>
  </si>
  <si>
    <t>Attacks; Configuration Protocols; Industrial Control Systems; Mitigation</t>
  </si>
  <si>
    <t>Computer circuits; Control systems; Controllers; Legacy systems; Programmed control systems; Attacks; Comparative analysis; Industrial control systems; Industrial controls; Mitigation; Security challenges; Security features; Specific protocol; Programmable logic controllers</t>
  </si>
  <si>
    <t>M.A. Prada; Grupo de Investigación en Supervisión, Control y Automatización de Procesos Industriales (SUPPRESS), Escuela de Ingenierías Industrial e Informática, Universidad de León, León, Campus de Vegazana s/n, 24007, Spain; email: ma.prada@unileon.es</t>
  </si>
  <si>
    <t>2-s2.0-85033227217</t>
  </si>
  <si>
    <t>2025-07-22 10:30:40</t>
  </si>
  <si>
    <t>Alves T.; Das R.; Morris T.</t>
  </si>
  <si>
    <t>Alves, Thiago (56715157600); Das, Rishabh (57199967568); Morris, Thomas (56559385500)</t>
  </si>
  <si>
    <t>56715157600; 57199967568; 56559385500</t>
  </si>
  <si>
    <t>Virtualization of industrial control system testbeds for cybersecurity</t>
  </si>
  <si>
    <t>10.1145/3018981.3018988</t>
  </si>
  <si>
    <t>https://www.scopus.com/inward/record.uri?eid=2-s2.0-85014859477&amp;doi=10.1145%2f3018981.3018988&amp;partnerID=40&amp;md5=9518547ea3c7f908327f74810345a707</t>
  </si>
  <si>
    <t>Department of Computer Engineering, University of Alabama, Huntsville, United States</t>
  </si>
  <si>
    <t>Alves T., Department of Computer Engineering, University of Alabama, Huntsville, United States; Das R., Department of Computer Engineering, University of Alabama, Huntsville, United States; Morris T., Department of Computer Engineering, University of Alabama, Huntsville, United States</t>
  </si>
  <si>
    <t>With an immense number of threats pouring in from nation states and hacktivists as well as terrorists and cybercriminals, the requirement of a globally secure infrastructure becomes a major obligation. Most critical infrastructures were primarily designed to work isolated from the normal communication network, but due to the advent of the "Smart Grid" that uses advanced and intelligent approaches to control critical infrastructure, it is necessary for these cyber-physical systems to have access to the communication system. Consequently, such critical systems have become prime targets; hence security of critical infrastructure is currently one of the most challenging research problems. Performing an extensive security analysis involving experiments with cyber-attacks on a live industrial control system (ICS) is not possible. Therefore, researchers generally resort to test beds and complex simulations to answer questions related to SCADA systems. Since all conclusions are drawn from the test bed, it is necessary to perform validation against a physical model. This paper examines the fidelity of a virtual SCADA testbed to a physical test bed and allows for the study of the effects of cyber-attacks on both of the systems. © 2016 ACM.</t>
  </si>
  <si>
    <t>Cybersecurity; ICS; MODBUS; OpenPLC; PLC; SCADA; Simulink; Vulnerability Analysis</t>
  </si>
  <si>
    <t>Complex networks; Computer crime; Control systems; Crime; Critical infrastructures; Embedded systems; Equipment testing; Integrated circuits; Intelligent control; Network security; Programmable logic controllers; Public works; SCADA systems; Terrorism; Testbeds; Virtualization; Cyber security; MODBUS; OpenPLC; SCADA; Simulink; Vulnerability analysis; Cyber Physical System</t>
  </si>
  <si>
    <t>978-145034788-4</t>
  </si>
  <si>
    <t>2-s2.0-85014859477</t>
  </si>
  <si>
    <t>2025-07-31 12:49:53</t>
  </si>
  <si>
    <t>Lin C.-T.; Wu S.-L.; Lee M.-L.</t>
  </si>
  <si>
    <t>Lin, Chih-Ta (56132390800); Wu, Sung-Lin (57200139901); Lee, Mei-Lin (57200139511)</t>
  </si>
  <si>
    <t>56132390800; 57200139901; 57200139511</t>
  </si>
  <si>
    <t>Cyber attack and defense on industry control systems</t>
  </si>
  <si>
    <t>2017 IEEE Conference on Dependable and Secure Computing</t>
  </si>
  <si>
    <t>8073874</t>
  </si>
  <si>
    <t>10.1109/DESEC.2017.8073874</t>
  </si>
  <si>
    <t>https://www.scopus.com/inward/record.uri?eid=2-s2.0-85039919504&amp;doi=10.1109%2fDESEC.2017.8073874&amp;partnerID=40&amp;md5=6c4ee56e7eba81022392623b0db483b5</t>
  </si>
  <si>
    <t>CyberTrust Technology Institute, Institute for Information Industry, Taipei, Taiwan</t>
  </si>
  <si>
    <t>Lin C.-T., CyberTrust Technology Institute, Institute for Information Industry, Taipei, Taiwan; Wu S.-L., CyberTrust Technology Institute, Institute for Information Industry, Taipei, Taiwan; Lee M.-L., CyberTrust Technology Institute, Institute for Information Industry, Taipei, Taiwan</t>
  </si>
  <si>
    <t>Industry control systems (ICSs) are widely used in various critical infrastructure production facilities of the oil, water, and electricity industries. In the past, most of these ICSs lacked both authentication and encryption mechanisms, leaving them vulnerable to attack by hackers. By establishing an industry control system test bed, this paper examines two operational cases, viz. water level control and air pollution control, and develops for them a Modbus/TCP network attack program, and an associated intrusion detection system (IDS). Through in-depth analysis of the Modbus ICS protocol, an automatic-learning based method of malicious intrusion detection is proposed, with which a variety of tests are conducted on the developed testbed. The results show that this method can effectively detect various kinds of network attacks. © 2017 IEEE.</t>
  </si>
  <si>
    <t>Cyber Security; Industrial Control Systems (ICS); Intrusion Detection System (IDS); Programmable Logic Controller (PLC); Supervisory Control and Data Acquisition (SCADA)</t>
  </si>
  <si>
    <t>Authentication; Computation theory; Computer crime; Control systems; Cryptography; Data acquisition; Intelligent control; Intrusion detection; Mercury (metal); Network security; Personal computing; Pollution control; SCADA systems; Water levels; Water pollution; Water pollution control; Cyber security; Industrial control systems; Intrusion Detection Systems; Programmable logic controllers (PLC); Supervisory control and data acquisition; Air pollution control</t>
  </si>
  <si>
    <t>978-150905569-2</t>
  </si>
  <si>
    <t>IEEE Conf. Dependable Secur. Comput.</t>
  </si>
  <si>
    <t>2-s2.0-85039919504</t>
  </si>
  <si>
    <t>2025-07-22 11:46:01</t>
  </si>
  <si>
    <t>Contains Threats, PLC, attacking systems</t>
  </si>
  <si>
    <t>Rosa L.; Cruz T.; Simões P.; Monteiro E.; Lev L.</t>
  </si>
  <si>
    <t>Rosa, Luís (57189322161); Cruz, Tiago (36974929400); Simões, Paulo (57203241452); Monteiro, Edmundo (7102113849); Lev, Leonid (14019682700)</t>
  </si>
  <si>
    <t>57189322161; 36974929400; 57203241452; 7102113849; 14019682700</t>
  </si>
  <si>
    <t>Attacking SCADA systems: A practical perspective</t>
  </si>
  <si>
    <t>Proceedings of the IM 2017 - 2017 IFIP/IEEE International Symposium on Integrated Network and Service Management</t>
  </si>
  <si>
    <t>7987369</t>
  </si>
  <si>
    <t>10.23919/INM.2017.7987369</t>
  </si>
  <si>
    <t>https://www.scopus.com/inward/record.uri?eid=2-s2.0-85029421774&amp;doi=10.23919%2fINM.2017.7987369&amp;partnerID=40&amp;md5=1f3aaf04c7ac3fe4286c7488c317bd15</t>
  </si>
  <si>
    <t>CISUC-DEI, University of Coimbra, Portugal; IEC - Israel Electric Corportation, Israel</t>
  </si>
  <si>
    <t>Rosa L., CISUC-DEI, University of Coimbra, Portugal; Cruz T., CISUC-DEI, University of Coimbra, Portugal; Simões P., CISUC-DEI, University of Coimbra, Portugal; Monteiro E., CISUC-DEI, University of Coimbra, Portugal; Lev L., IEC - Israel Electric Corportation, Israel</t>
  </si>
  <si>
    <t>As Supervisory Control and Data Acquisition (SCADA) and Industrial and Automation Control System (IACS) architectures became more open and interconnected, some of their remotely controlled processes also became more exposed to cyber threats. Aspects such as the use of mature technologies and legacy equipment or even the unforeseen consequences of bridging IACS with external networks have contributed to this situation. This situation prompted the involvement of governmental, industrial and research organizations, as well as standardization entities, in order to create and promote a series of recommendations and standards for IACS cyber-security. Despite those efforts, which are mostly focused on prevention and mitigation, existing literature still lacks attack descriptions that can be reused to reproduce and further research specific use cases and scenarios of security incidents, useful for improving and developing new security detection strategies. In this paper, we describe the implementation of a set of attacks targeting a SCADA hybrid testbed that reproduces an electrical grid for energy distribution (medium and high voltage). This environment makes use of real SCADA equipment to faithfully reproduce a real operational deployment, providing a better insight into less evident SCADA- and device-specificities. © 2017 IFIP.</t>
  </si>
  <si>
    <t>Industrial Control Systems; SCADA; Security</t>
  </si>
  <si>
    <t>Control systems; Data acquisition; Industrial research; Automation control system; Energy distributions; Industrial control systems; Operational deployments; Research organization; SCADA; Security; Supervisory control and data acquisition; SCADA systems</t>
  </si>
  <si>
    <t>Chemouil P.; Simoes P.; Madeira E.; Secci S.; Monteiro E.; Gaspary L.P.; dos Santos C.R.P.; Charalambides M.</t>
  </si>
  <si>
    <t>978-390188289-0</t>
  </si>
  <si>
    <t>Proc. IM - IFIP/IEEE Int. Symp. Integr. Netw. Serv. Manag.</t>
  </si>
  <si>
    <t>2-s2.0-85029421774</t>
  </si>
  <si>
    <t>2025-08-01 10:26:17</t>
  </si>
  <si>
    <t>Irmak E.; Erkek I.</t>
  </si>
  <si>
    <t>Irmak, Erdal (24824489900); Erkek, Ismail (57203228502)</t>
  </si>
  <si>
    <t>24824489900; 57203228502</t>
  </si>
  <si>
    <t>An overview of cyber-attack vectors on SCADA systems</t>
  </si>
  <si>
    <t>6th International Symposium on Digital Forensic and Security, ISDFS 2018 - Proceeding</t>
  </si>
  <si>
    <t>2018-January</t>
  </si>
  <si>
    <t>10.1109/ISDFS.2018.8355379</t>
  </si>
  <si>
    <t>https://www.scopus.com/inward/record.uri?eid=2-s2.0-85050969921&amp;doi=10.1109%2fISDFS.2018.8355379&amp;partnerID=40&amp;md5=015120542e457e450d61f8eb35b34be4</t>
  </si>
  <si>
    <t>Electrical and Electronics Engineering, Gazi University, Ankara, Turkey; Information Security Engineering, Gazi University, Ankara, Turkey</t>
  </si>
  <si>
    <t>Irmak E., Electrical and Electronics Engineering, Gazi University, Ankara, Turkey; Erkek I., Information Security Engineering, Gazi University, Ankara, Turkey</t>
  </si>
  <si>
    <t>Most of the countries evaluate their energy networks in terms of national security and define as critical infrastructure. Monitoring and controlling of these systems are generally provided by Industrial Control Systems (ICSs) and/or Supervisory Control and Data Acquisition (SCADA) systems. Therefore, this study focuses on the cyber-attack vectors on SCADA systems to research the threats and risks targeting them. For this purpose, TCP/IP based protocols used in SCADA systems have been determined and analyzed at first. Then, the most common cyber-attacks are handled systematically considering hardware-side threats, software-side ones and the threats for communication infrastructures. Finally, some suggestions are given. © 2018 IEEE.</t>
  </si>
  <si>
    <t>critical infrastructure; cyber-attack; industrial control systems; SCADA</t>
  </si>
  <si>
    <t>Computer crime; Critical infrastructures; Digital forensics; Electronic crime countermeasures; Intelligent control; National security; Network security; Public works; Communication infrastructure; Cyber-attacks; Energy networks; Industrial control systems; Monitoring and controlling; SCADA; Supervisory Control and Data Acquisition (SCADA) systems; SCADA systems</t>
  </si>
  <si>
    <t>978-153863449-3</t>
  </si>
  <si>
    <t>Int. Symp. Digit. Forensic Secur., ISDFS - Proc.</t>
  </si>
  <si>
    <t>2-s2.0-85050969921</t>
  </si>
  <si>
    <t>2025-07-21 20:55:41</t>
  </si>
  <si>
    <t>ContainsThreats: Pratical approach</t>
  </si>
  <si>
    <t>Wardak H.; Zhioua S.; Almulhem A.</t>
  </si>
  <si>
    <t>Wardak, Haroon (57194029649); Zhioua, Sami (8253908500); Almulhem, Ahmad (6603379725)</t>
  </si>
  <si>
    <t>57194029649; 8253908500; 6603379725</t>
  </si>
  <si>
    <t>PLC access control: A security analysis</t>
  </si>
  <si>
    <t>2016 World Congress on Industrial Control Systems Security, WCICSS 2016</t>
  </si>
  <si>
    <t>7882935</t>
  </si>
  <si>
    <t>10.1109/WCICSS.2016.7882935</t>
  </si>
  <si>
    <t>https://www.scopus.com/inward/record.uri?eid=2-s2.0-85018436373&amp;doi=10.1109%2fWCICSS.2016.7882935&amp;partnerID=40&amp;md5=c7d3c7786c6b0b9af96752d2280240af</t>
  </si>
  <si>
    <t>Information and Computer Science Department, KFUPM, Dhahran, 31261, Saudi Arabia; Computer Engineering Department, KFUPM, Dhahran, 31261, Saudi Arabia</t>
  </si>
  <si>
    <t>Wardak H., Information and Computer Science Department, KFUPM, Dhahran, 31261, Saudi Arabia; Zhioua S., Information and Computer Science Department, KFUPM, Dhahran, 31261, Saudi Arabia; Almulhem A., Computer Engineering Department, KFUPM, Dhahran, 31261, Saudi Arabia</t>
  </si>
  <si>
    <t>A Programmable Logic Controller (PLC) is a very common industrial control system device used to control output devices based on data received (and processed) from input devices. Given the central role that PLCs play in deployed industrial control systems, it has been a preferred target of ICS attackers. A quick search in the ICS-CERT repository reveals that out of a total of 589 advisories, more than 80 target PLCs. Stuxnet attack, considered the most famous reported incident on ICS, targeted mainly PLCs. Most of the PLC reported incidents are rooted in the fact that the PLC being accessed in an unauthorized way. In this paper, we investigate the PLC access control problem. We discuss several access control models but we focus mainly on the commonly adopted password-based access control. We show how such passwordbased mechanism can be compromised in a realistic scenario as well as the list the attacks that can be derived as a consequence. This paper details a set of vulnerabilities targeting recent versions of PLCs (2016) which have not been reported in the literature. © 2016 IEEE.</t>
  </si>
  <si>
    <t>Access Control; Industrial Control Systems; Passwords; PLC; SCADA</t>
  </si>
  <si>
    <t>Authentication; Control systems; Intelligent control; Programmable logic controllers; SCADA systems; Access control models; Control problems; Industrial control systems; Passwords; Programmable logic controllers (PLC); Realistic scenario; SCADA; Security analysis; Access control</t>
  </si>
  <si>
    <t>978-190832063-6</t>
  </si>
  <si>
    <t>World Congr. Ind. Control Syst. Secur., WCICSS</t>
  </si>
  <si>
    <t>2-s2.0-85018436373</t>
  </si>
  <si>
    <t>2025-09-29 09:26:50</t>
  </si>
  <si>
    <t>Eigner O.; Kreimel P.; Tavolato P.</t>
  </si>
  <si>
    <t>Eigner, Oliver (57193699720); Kreimel, Philipp (57193689725); Tavolato, Paul (6505913713)</t>
  </si>
  <si>
    <t>57193699720; 57193689725; 6505913713</t>
  </si>
  <si>
    <t>Attacks on industrial control systems modeling and anomaly detection</t>
  </si>
  <si>
    <t>ICISSP 2018 - Proceedings of the 4th International Conference on Information Systems Security and Privacy</t>
  </si>
  <si>
    <t>10.5220/0006755405810588</t>
  </si>
  <si>
    <t>https://www.scopus.com/inward/record.uri?eid=2-s2.0-85052018072&amp;doi=10.5220%2f0006755405810588&amp;partnerID=40&amp;md5=27bbec885dfc1bcc7180926fe49c2106</t>
  </si>
  <si>
    <t>University of Applied Sciences St. Pölten, Matthias Corvinus-Straße 15, St. Pölten, Austria</t>
  </si>
  <si>
    <t>Eigner O., University of Applied Sciences St. Pölten, Matthias Corvinus-Straße 15, St. Pölten, Austria; Kreimel P., University of Applied Sciences St. Pölten, Matthias Corvinus-Straße 15, St. Pölten, Austria; Tavolato P., University of Applied Sciences St. Pölten, Matthias Corvinus-Straße 15, St. Pölten, Austria</t>
  </si>
  <si>
    <t>Industrial control systems play a crucial role in a digital society, particularly when they are part of critical infrastructures. Unfortunately traditional intrusion defense strategies for IT systems are often not applicable in industrial environments. A continuous monitoring of the operation is necessary to detect abnormal behavior of a system. This paper presents an anomaly-based approach for detection and classification of attacks against industrial control systems. In order to stay close to practice we set up a test plant with sensors, actuators and controllers widely used in industry, thus, providing a test environment as close as possible to reality. First, we defined a formal model of normal system behavior, determining the essential parameters through machine learning algorithms. The goal was the definition of outlier scores to differentiate between normal and abnormal system operations. This model of valid behavior is then used to detect anomalies. Further, we launched cyber-attacks against the test setup in order to create an attack model by using naive Bayes classifiers. We applied the model to data from a real industrial plant. The test showed that the model could be transferred to different industrial control systems with reasonable adaption and training effort. Copyright © 2018 by SCITEPRESS – Science and Technology Publications, Lda. All rights reserved.</t>
  </si>
  <si>
    <t>Anomaly Detection; Industrial Control System; Machine Learning; Modeling Procedure</t>
  </si>
  <si>
    <t>Classification (of information); Control systems; Industrial plants; Information systems; Information use; Learning algorithms; Machine learning; Network security; Abnormal behavior; Continuous monitoring; Defense strategy; Industrial control systems; Industrial environments; Naive Bayes classifiers; System operation; Test Environment; Anomaly detection</t>
  </si>
  <si>
    <t>Mori P.; Furnell S.; Camp O.</t>
  </si>
  <si>
    <t>SciTePress</t>
  </si>
  <si>
    <t>978-989758282-0</t>
  </si>
  <si>
    <t>ICISSP - Proc. Int. Conf. Inf. Syst. Secur. Priv.</t>
  </si>
  <si>
    <t>2-s2.0-85052018072</t>
  </si>
  <si>
    <t>2025-10-08 10:51:40</t>
  </si>
  <si>
    <t>ContainsThreats: DNP3, Modbus, IEC61850</t>
  </si>
  <si>
    <t>Xu Y.; Yang Y.; Li T.; Ju J.; Wang Q.</t>
  </si>
  <si>
    <t>Xu, Yikai (57202752224); Yang, Yi (56398945200); Li, Tianran (55615991500); Ju, Jiaqi (57193005103); Wang, Qi (59616577400)</t>
  </si>
  <si>
    <t>57202752224; 56398945200; 55615991500; 57193005103; 59616577400</t>
  </si>
  <si>
    <t>Review on cyber vulnerabilities of communication protocols in industrial control systems</t>
  </si>
  <si>
    <t>2017 IEEE Conference on Energy Internet and Energy System Integration, EI2 2017 - Proceedings</t>
  </si>
  <si>
    <t>10.1109/EI2.2017.8245509</t>
  </si>
  <si>
    <t>https://www.scopus.com/inward/record.uri?eid=2-s2.0-85049230858&amp;doi=10.1109%2fEI2.2017.8245509&amp;partnerID=40&amp;md5=30b9f6e437e60be6803f826f1d680817</t>
  </si>
  <si>
    <t>Nanjing Normal University, Nanjing, China; State Grid Jiangsu Electric Power Research Institute, Nanjing, China</t>
  </si>
  <si>
    <t>Xu Y., Nanjing Normal University, Nanjing, China; Yang Y., State Grid Jiangsu Electric Power Research Institute, Nanjing, China; Li T., Nanjing Normal University, Nanjing, China; Ju J., Nanjing Normal University, Nanjing, China; Wang Q., Nanjing Normal University, Nanjing, China</t>
  </si>
  <si>
    <t>With the progress of the energy system integration, industrial control system (ICS) plays a more significant role in monitoring and controlling critical infrastructures. The main function of ICS is to gather real-time data, realize device automation, and supervise the system. To achieve this goal, a number of communication protocols have been designed. However, deficiencies of protocol implementation can bring in unintentional risks. In this paper, communication protocols used in ICS are reviewed and analyzed such as DNP3, Modbus, IEC 60870-5-104, IEC 61850, IEC 61400-25 as well as IEEE C37.118. Then, we present a taxonomy on cyber vulnerabilities of the protocols, along with several typical attacks and countermeasures. © 2017 IEEE.</t>
  </si>
  <si>
    <t>ICS; Protocols; Taxonomy; Vulnerabilities</t>
  </si>
  <si>
    <t>Control systems; Integrated circuits; Network protocols; Taxonomies; Cyber vulnerabilities; Energy systems; IEC 60870-5-104; Industrial control systems; Monitoring and controlling; Protocol implementation; Real-time data; Vulnerabilities; Intelligent control</t>
  </si>
  <si>
    <t>978-153861427-3</t>
  </si>
  <si>
    <t>IEEE Conf. Energy Internet Energy Syst. Integr., EI2 - Proc.</t>
  </si>
  <si>
    <t>2-s2.0-85049230858</t>
  </si>
  <si>
    <t>2025-07-21 20:58:49</t>
  </si>
  <si>
    <t>Contains Threats, Memory Attack</t>
  </si>
  <si>
    <t>Chekole E.G.; Castellanos J.H.; Ochoa M.; Yau D.K.Y.</t>
  </si>
  <si>
    <t>Chekole, Eyasu Gethun (56277813100); Castellanos, John Henry (57188827935); Ochoa, Martín (40462209200); Yau, David K. Y. (34980075000)</t>
  </si>
  <si>
    <t>56277813100; 57188827935; 40462209200; 34980075000</t>
  </si>
  <si>
    <t>Enforcing memory safety in cyber-physical systems</t>
  </si>
  <si>
    <t>10683 LNCS</t>
  </si>
  <si>
    <t>10.1007/978-3-319-72817-9_9</t>
  </si>
  <si>
    <t>https://www.scopus.com/inward/record.uri?eid=2-s2.0-85041544414&amp;doi=10.1007%2f978-3-319-72817-9_9&amp;partnerID=40&amp;md5=71f495ff21618e304cb5d35d0a891f60</t>
  </si>
  <si>
    <t>Singapore University of Technology and Design, Singapore, Singapore; Advanced Digital Sciences Center, Singapore, Singapore</t>
  </si>
  <si>
    <t>Chekole E.G., Singapore University of Technology and Design, Singapore, Singapore, Advanced Digital Sciences Center, Singapore, Singapore; Castellanos J.H., Singapore University of Technology and Design, Singapore, Singapore; Ochoa M., Singapore University of Technology and Design, Singapore, Singapore; Yau D.K.Y., Singapore University of Technology and Design, Singapore, Singapore, Advanced Digital Sciences Center, Singapore, Singapore</t>
  </si>
  <si>
    <t>Cyber-Physical Systems (CPS) integrate computations and communications with physical processes and are being widely adopted in various application areas. However, the increasing prevalence of cyber attacks targeting them poses a growing security concern. In particular, attacks exploiting memory-safety vulnerabilities constitute a major attack vector against CPS, because embedded systems often rely on unsafe but fast programming languages to meet their hard time constraints. A wide range of countermeasures has been developed to provide protection against these attacks. However, the most reliable countermeasures incur in high runtime overheads. In this work, we explore the applicability of strong countermeasures against memory-safety attacks in the context of realistic Industrial Control Systems (ICS). To this end, we design an experimental setup, based on a secure water treatment plant (SWaT) to empirically measure the memory safety overhead (MSO) caused by memory-safe compilation of the Programmable Logic Controller (PLC). We then quantify the tolerability of this overhead in terms of the expected real-time constraints of SWaT. Our results show high effectiveness of the security measure in detecting memory-safety violations and a MSO (197.86 μ s per scan-cycle) that is also tolerable for the SWaT simulation. We also discuss how different parameters impact the execution time of PLCs and the resulting absolute MSO. © Springer International Publishing AG 2018.</t>
  </si>
  <si>
    <t>Accident prevention; Computer control systems; Computer privacy; Control systems; Cyber Physical System; Industrial research; Intelligent control; Network security; Safety engineering; Security of data; Security systems; Water treatment; Application area; Cyber-physical systems (CPS); Industrial control systems; Physical process; Programmable logic controllers (PLC); Real time constraints; Runtime overheads; Time constraints; Embedded systems</t>
  </si>
  <si>
    <t>E.G. Chekole; Singapore University of Technology and Design, Singapore, Singapore; email: eyasu_chekole@mymail.sutd.edu.sg</t>
  </si>
  <si>
    <t>Mylopoulos J.; Lambrinoudakis C.; Kalloniatis C.; Cuppens F.; Cuppens N.; Anton A.; Katsikas S.K.; Gritzalis S.</t>
  </si>
  <si>
    <t>978-331972816-2</t>
  </si>
  <si>
    <t>2-s2.0-85041544414</t>
  </si>
  <si>
    <t>2025-10-01 14:43:01</t>
  </si>
  <si>
    <t>Liang L.; Liu Y.; Yao Y.; Yang T.; Hu Y.; Ling C.</t>
  </si>
  <si>
    <t>Liang, Lulu (35728522700); Liu, Yanzhao (57859686700); Yao, Yuangang (35175430400); Yang, Tianshi (58360714800); Hu, Yuening (57201655892); Ling, Chen (57201659861)</t>
  </si>
  <si>
    <t>35728522700; 57859686700; 35175430400; 58360714800; 57201655892; 57201659861</t>
  </si>
  <si>
    <t>Security challenges and risk evaluation framework for industrial wireless sensor networks</t>
  </si>
  <si>
    <t>2017 4th International Conference on Control, Decision and Information Technologies, CoDIT 2017</t>
  </si>
  <si>
    <t>2017-January</t>
  </si>
  <si>
    <t>10.1109/CoDIT.2017.8102711</t>
  </si>
  <si>
    <t>https://www.scopus.com/inward/record.uri?eid=2-s2.0-85045555848&amp;doi=10.1109%2fCoDIT.2017.8102711&amp;partnerID=40&amp;md5=90b922d44a931eb49df0271f03f8c66f</t>
  </si>
  <si>
    <t>China Information Technology Security Evaluation Center, Beijing, China</t>
  </si>
  <si>
    <t>Liang L., China Information Technology Security Evaluation Center, Beijing, China; Liu Y., China Information Technology Security Evaluation Center, Beijing, China; Yao Y., China Information Technology Security Evaluation Center, Beijing, China; Yang T., China Information Technology Security Evaluation Center, Beijing, China; Hu Y., China Information Technology Security Evaluation Center, Beijing, China; Ling C., China Information Technology Security Evaluation Center, Beijing, China</t>
  </si>
  <si>
    <t>Due to flexibility, low cost and rapid deployment, wireless sensor networks (WSNs)have been drawing more and more interest from governments, researchers, application developers, and manufacturers in recent years. Nowadays, we are in the age of industry 4.0, in which the traditional industrial control systems will be connected with each other and provide intelligent manufacturing. Therefore, WSNs can play an extremely crucial role to monitor the environment and condition parameters for smart factories. Nevertheless, the introduction of the WSNs reveals the weakness, especially for industrial applications. Through the vulnerability of IWSNs, the latent attackers were likely to invade the information system. Risk evaluation is an overwhelmingly efficient method to reduce the risk of information system in order to an acceptable level. This paper aim to study the security issues about IWSNs as well as put forward a practical solution to evaluate the risk of IWSNs, which can guide us to make risk evaluation process and improve the security of IWSNs through appropriate countermeasures. © 2017 IEEE.</t>
  </si>
  <si>
    <t>Industrial wireless sensor networks; Industry 4.0; Risk evaluation</t>
  </si>
  <si>
    <t>Industry 4.0; Information systems; Information use; Network security; Application developers; Condition parameters; Industrial control systems; Industrial wireless sensor networks; Intelligent Manufacturing; Practical solutions; Risk evaluation; Wireless sensor network (WSNs); Wireless sensor networks</t>
  </si>
  <si>
    <t>978-150906465-6</t>
  </si>
  <si>
    <t>Int. Conf. Control, Decision Information Technologies, CoDIT</t>
  </si>
  <si>
    <t>2-s2.0-85045555848</t>
  </si>
  <si>
    <t>2025-07-31 10:19:42</t>
  </si>
  <si>
    <t>Zhou X.; Xu Z.; Wang L.; Chen K.; Chen C.; Zhang W.</t>
  </si>
  <si>
    <t>Zhou, Xiaojun (57196245348); Xu, Zhen (57113787200); Wang, Liming (57196337846); Chen, Kai (57221113961); Chen, Cong (50361021700); Zhang, Wei (57192223295)</t>
  </si>
  <si>
    <t>57196245348; 57113787200; 57196337846; 57221113961; 50361021700; 57192223295</t>
  </si>
  <si>
    <t>APT attack analysis in SCADA systems</t>
  </si>
  <si>
    <t>MATEC Web of Conferences</t>
  </si>
  <si>
    <t>173</t>
  </si>
  <si>
    <t>01010</t>
  </si>
  <si>
    <t>10.1051/matecconf/201817301010</t>
  </si>
  <si>
    <t>https://www.scopus.com/inward/record.uri?eid=2-s2.0-85051131856&amp;doi=10.1051%2fmatecconf%2f201817301010&amp;partnerID=40&amp;md5=20c58598150002780715aac56cff7fba</t>
  </si>
  <si>
    <t>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t>
  </si>
  <si>
    <t>Zhou X., 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 Xu Z., State Key Laboratory of Information Security, Institute of Information Engineering, Chinese Academy of Sciences, No. 80 Xingshikou Road, Haidian District, Beijing, China; Wang L., State Key Laboratory of Information Security, Institute of Information Engineering, Chinese Academy of Sciences, No. 80 Xingshikou Road, Haidian District, Beijing, China; Chen K., State Key Laboratory of Information Security, Institute of Information Engineering, Chinese Academy of Sciences, No. 80 Xingshikou Road, Haidian District, Beijing, China; Chen C., 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 Zhang W., 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t>
  </si>
  <si>
    <t>SCADA (Supervisory Control and Data Acquisition) systems play a significant role in ICS (Industrial Control System). Safety, security and stable operation is crucial to the SCADA system. However, SCADA system currently faces many security threats, of which the most harmful is the APT attack. This paper analyzes the attack surface and its own vulnerabilities of SCADA system, and analyzes the characteristics of APT attack comprehensively. Then the paper dissects the cases of real APT attack thoroughly and gives measures of SCADA security protection. © The Authors, published by EDP Sciences, 2018.</t>
  </si>
  <si>
    <t>Intelligent control; Intelligent materials; Manufacture; Apt attacks; Industrial control systems; SCADA security; Security threats; Stable operation; Supervisory control and data acquisition; SCADA systems</t>
  </si>
  <si>
    <t>X. Zhou; State Key Laboratory of Information Security, Institute of Information Engineering, Chinese Academy of Sciences, Haidian District, Beijing, No. 80 Xingshikou Road, China; email: author@e-mail.org</t>
  </si>
  <si>
    <t>Yuan A.; Heled J.</t>
  </si>
  <si>
    <t>EDP Sciences</t>
  </si>
  <si>
    <t>2261236X</t>
  </si>
  <si>
    <t>MATEC Web Conf.</t>
  </si>
  <si>
    <t>2-s2.0-85051131856</t>
  </si>
  <si>
    <t>2025-07-22 09:08:42</t>
  </si>
  <si>
    <t>Only  Data Management</t>
  </si>
  <si>
    <t>Bustamante F.; Fuertes W.; Diaz P.; Toulkeridis T.</t>
  </si>
  <si>
    <t>Bustamante, Fabian (57192639930); Fuertes, Walter (26534211400); Diaz, Paul (57192640568); Toulkeridis, Theofilos (6701738123)</t>
  </si>
  <si>
    <t>57192639930; 26534211400; 57192640568; 6701738123</t>
  </si>
  <si>
    <t>A methodological proposal concerning to the management of information security in Industrial Control Systems</t>
  </si>
  <si>
    <t>2016 IEEE Ecuador Technical Chapters Meeting, ETCM 2016</t>
  </si>
  <si>
    <t>7750821</t>
  </si>
  <si>
    <t>10.1109/ETCM.2016.7750821</t>
  </si>
  <si>
    <t>https://www.scopus.com/inward/record.uri?eid=2-s2.0-85006983228&amp;doi=10.1109%2fETCM.2016.7750821&amp;partnerID=40&amp;md5=0d8dc33015554a9d1bda0583eb4f563d</t>
  </si>
  <si>
    <t>Department of Computer Science, Universidad de Las Fuerzas Armadas, ESPE, Sangolquí, Ecuador</t>
  </si>
  <si>
    <t>Bustamante F., Department of Computer Science, Universidad de Las Fuerzas Armadas, ESPE, Sangolquí, Ecuador; Fuertes W., Department of Computer Science, Universidad de Las Fuerzas Armadas, ESPE, Sangolquí, Ecuador; Diaz P., Department of Computer Science, Universidad de Las Fuerzas Armadas, ESPE, Sangolquí, Ecuador; Toulkeridis T., Department of Computer Science, Universidad de Las Fuerzas Armadas, ESPE, Sangolquí, Ecuador</t>
  </si>
  <si>
    <t>The most recent international reports of security issues documented a growing number of cybernetic attacks to Industrial Control Systems. Therefore, an increase of information technology implementations in manufacturing processes arose offering solutions in Information Security of the involved manufacturers and professionals. In this respect, a notable tendency emerges in which information security has been particularly intended to be used in businesses' administrative areas, where ISO-27000 is the most favored standard. Nonetheless, it has been determined that ISO is not yet an ideal standard for an industrial approach, due to the fact that it has not been created for these systems. We designed and implemented a methodology for the management of information security of the Industrial Control Systems of industrial businesses, based on standards issued by NIST. Such methodology presents the development of a series of phases, which provide two main contributions: Firstly a group of strategies to reduce risks and secondly a Guide for standards-based instructions as well as security policies for the effective management of information security. © 2016 IEEE.</t>
  </si>
  <si>
    <t>Automation; DCS; Industrial Control Systems; Information Security; ISMS; ISO 27000; NIST; PLC; SCADA</t>
  </si>
  <si>
    <t>Automation; Control systems; Manufacture; Programmable logic controllers; SCADA systems; Security of data; Industrial control systems; ISMS; ISO 27000; NIST; SCADA; Information management</t>
  </si>
  <si>
    <t>978-150901629-7</t>
  </si>
  <si>
    <t>IEEE Ecuador Tech. Chapters Meet., ETCM</t>
  </si>
  <si>
    <t>2-s2.0-85006983228</t>
  </si>
  <si>
    <t>2025-07-31 11:02:36</t>
  </si>
  <si>
    <t>High Level Threats</t>
  </si>
  <si>
    <t>Bartman T.; Carson K.</t>
  </si>
  <si>
    <t>Bartman, Tom (57190434686); Carson, Kevin (57194348768)</t>
  </si>
  <si>
    <t>57190434686; 57194348768</t>
  </si>
  <si>
    <t>Securing communications for SCADA and critical industrial systems</t>
  </si>
  <si>
    <t>69th Annual Conference for Protective Relay Engineers, CPRE 2016</t>
  </si>
  <si>
    <t>7914914</t>
  </si>
  <si>
    <t>10.1109/CPRE.2016.7914914</t>
  </si>
  <si>
    <t>https://www.scopus.com/inward/record.uri?eid=2-s2.0-85019699340&amp;doi=10.1109%2fCPRE.2016.7914914&amp;partnerID=40&amp;md5=d793fc33eb40a2a024b29fa34813922c</t>
  </si>
  <si>
    <t>Schweitzer Engineering Laboratories, Inc., United States</t>
  </si>
  <si>
    <t>Bartman T., Schweitzer Engineering Laboratories, Inc., United States; Carson K., Schweitzer Engineering Laboratories, Inc., United States</t>
  </si>
  <si>
    <t>Secure communications within the electric power system are critical to ensuring safe and reliable electric power. Additionally, secure communications are critical to the safe flow of oil and natural gas. Around the globe, automation and communications networks face a growing number of threats that can result in malicious acts, such as unauthorized access and espionage. Most industrial sectors are in transition from legacy protocols to Internet Protocol-based (IP-based) communications. An unintended consequence of adopting IP communications is that supervisory control and data acquisition (SCADA) and industrial control systems (ICSs) have become very popular targets of attack. Access to the devices in these networks must be secured or critical equipment and information face the risk of compromise. In 2013, attacks on the energy sector were the highest percentage of reported security incidents among critical infrastructure. This paper investigates the risks to SCADA and industrial communications and the real-world threats these risks pose. It first discusses basic communications security concepts. It then discusses the methods used by attackers to exploit vulnerabilities in SCADA and ICSs, in addition to the state of real threats to the security and stability of electric power systems. Lastly, the paper describes how to mitigate each threat with the appropriate application of countermeasures and new technologies to keep systems secure. © 2016 IEEE.</t>
  </si>
  <si>
    <t>Data acquisition; Electric power systems; Intelligent control; Relay protection; SCADA systems; Secure communication; Communications networks; Communications security; Industrial communications; Industrial control systems; Reliable electric power; Security and stability; Supervisory control and data acquisition; Unintended consequences; Internet protocols</t>
  </si>
  <si>
    <t>978-150901532-0</t>
  </si>
  <si>
    <t>Annu. Conf. Prot. Relay Eng., CPRE</t>
  </si>
  <si>
    <t>2-s2.0-85019699340</t>
  </si>
  <si>
    <t>2025-07-21 20:50:40</t>
  </si>
  <si>
    <t>ContainsThreats: IEC61850</t>
  </si>
  <si>
    <t>Qassim Q.S.; Jamil N.; Daud M.; Ja'affar N.; Yussof S.; Ismail R.; Kamarulzaman W.A.W.</t>
  </si>
  <si>
    <t>Qassim, Qais Saif (36613541700); Jamil, Norziana (36682671900); Daud, Maslina (57193904391); Ja'affar, Norhamadi (57202007908); Yussof, Salman (16023225600); Ismail, Roslan (15839357700); Kamarulzaman, Wan Azlan Wan (6505975029)</t>
  </si>
  <si>
    <t>36613541700; 36682671900; 57193904391; 57202007908; 16023225600; 15839357700; 6505975029</t>
  </si>
  <si>
    <t>Simulating command injection attacks on IEC 60870-5-104 protocol in SCADA system</t>
  </si>
  <si>
    <t>https://www.scopus.com/inward/record.uri?eid=2-s2.0-85080576204&amp;partnerID=40&amp;md5=70f8a29e2fa2d324c5171a739ea67684</t>
  </si>
  <si>
    <t>Institute of Informatics and Computing in Energy, Universiti Tenaga Nasional, Malaysia; College of Computer Science and Information Technology, Universiti Tenaga Nasional, Malaysia; Cybersecurity Malaysia, Malaysia; Tenaga Nasional Berhad, Malaysia</t>
  </si>
  <si>
    <t>Qassim Q.S., Institute of Informatics and Computing in Energy, Universiti Tenaga Nasional, Malaysia; Jamil N., Institute of Informatics and Computing in Energy, Universiti Tenaga Nasional, Malaysia, College of Computer Science and Information Technology, Universiti Tenaga Nasional, Malaysia; Daud M., Cybersecurity Malaysia, Malaysia; Ja'affar N., Cybersecurity Malaysia, Malaysia; Yussof S., College of Computer Science and Information Technology, Universiti Tenaga Nasional, Malaysia; Ismail R., Institute of Informatics and Computing in Energy, Universiti Tenaga Nasional, Malaysia, College of Computer Science and Information Technology, Universiti Tenaga Nasional, Malaysia; Kamarulzaman W.A.W., Tenaga Nasional Berhad, Malaysia</t>
  </si>
  <si>
    <t>IEC 60870-5-104 is an international standard used for tele-control in electrical engineering and power system applications. It is one of the major principal protocols in SCADA system. Major industrial control vendors use this protocol for monitoring and managing power utility devices. One of the most common attacks which has a catastrophic impact on industrial control systems is the control command injection attack. It happens when an attacker injects false control commands into a control system. This paper presents the IEC 60870-5-104 vulnera-bilities from the perspective of command and information data injection. From the SCADA testbed that we setup, we showed that a success-ful control command injection attack can be implemented by exploiting the vulnerabilities identified earlier. © 2018 Qais Saif Qassim et al.</t>
  </si>
  <si>
    <t>Cyber-Security; IEC 60870-5-104; SCADA; Vulnerability</t>
  </si>
  <si>
    <t>Q.S. Qassim; Institute of Informatics and Computing in Energy, Universiti Tenaga Nasional, Malaysia; email: qaissaif@uniten.edu.my</t>
  </si>
  <si>
    <t>2-s2.0-85080576204</t>
  </si>
  <si>
    <t>2025-07-22 09:09:55</t>
  </si>
  <si>
    <t>Urbina D.I.; Giraldo J.; Cardenas A.A.; Tippenhauer N.O.; Valente J.; Faisal M.; Ruths J.; Candell R.; Sandberg H.</t>
  </si>
  <si>
    <t>Urbina, David I. (56509406400); Giraldo, Jairo (54683896900); Cardenas, Alvaro A. (8316952100); Tippenhauer, Nils Ole (35106192100); Valente, Junia (55657712800); Faisal, Mustafa (55250395700); Ruths, Justin (35254385600); Candell, Richard (56770199700); Sandberg, Henrik (55971582400)</t>
  </si>
  <si>
    <t>56509406400; 54683896900; 8316952100; 35106192100; 55657712800; 55250395700; 35254385600; 56770199700; 55971582400</t>
  </si>
  <si>
    <t>Limiting the impact of stealthy attacks on Industrial Control Systems</t>
  </si>
  <si>
    <t>Proceedings of the ACM Conference on Computer and Communications Security</t>
  </si>
  <si>
    <t>24-28-October-2016</t>
  </si>
  <si>
    <t>10.1145/2976749.2978388</t>
  </si>
  <si>
    <t>https://www.scopus.com/inward/record.uri?eid=2-s2.0-84995482299&amp;doi=10.1145%2f2976749.2978388&amp;partnerID=40&amp;md5=6fa10e6484af3c0ee8aaf219ff7863cf</t>
  </si>
  <si>
    <t>University of Texas at Dallas, United States; Singapore University of Technology and Design, Singapore; National Institute of Standards and Technology, United States; KTH Royal Institute of Technology, Sweden</t>
  </si>
  <si>
    <t>Urbina D.I., University of Texas at Dallas, United States; Giraldo J., University of Texas at Dallas, United States; Cardenas A.A., University of Texas at Dallas, United States; Tippenhauer N.O., Singapore University of Technology and Design, Singapore; Valente J., University of Texas at Dallas, United States; Faisal M., University of Texas at Dallas, United States; Ruths J., University of Texas at Dallas, United States; Candell R., National Institute of Standards and Technology, United States; Sandberg H., KTH Royal Institute of Technology, Sweden</t>
  </si>
  <si>
    <t>While attacks on information systems have for most practical purposes binary outcomes (information was manipulated/eavesdropped, or not), attacks manipulating the sensor or control signals of Industrial Control Systems (ICS) can be tuned by the attacker to cause a continuous spectrum in damages. Attackers that want to remain undetected can attempt to hide their manipulation of the system by following closely the expected behavior of the system, while injecting just enough false information at each time step to achieve their goals. In this work, we study if physics-based attack detection can limit the impact of such stealthy attacks. We start with a comprehensive review of related work on attack detection schemes in the security and control systems community. We then show that many of these works use detection schemes that are not limiting the impact of stealthy attacks. We propose a new metric to measure the impact of stealthy attacks and how they relate to our selection on an upper bound on false alarms. We finally show that the impact of such attacks can be mitigated in several cases by the proper combination and configuration of detection schemes. We demonstrate the effectiveness of our algorithms through simulations and experiments using real ICS testbeds and real ICS systems. © 2016 Copyright held by the owner/author(s). Publication rights licensed to ACM.</t>
  </si>
  <si>
    <t>Cyber-physical systems; Industrial Control Systems; Intrusion detection; Physics-based detection; Security metrics; Stealthy attacks</t>
  </si>
  <si>
    <t>Control systems; Embedded systems; Intrusion detection; Cyber physical systems (CPSs); Industrial control systems; Physics-based; Security metrics; Stealthy attacks; Intelligent control</t>
  </si>
  <si>
    <t>15437221</t>
  </si>
  <si>
    <t>978-145034139-4</t>
  </si>
  <si>
    <t>Proc ACM Conf Computer Commun Secur</t>
  </si>
  <si>
    <t>2-s2.0-84995482299</t>
  </si>
  <si>
    <t>2025-10-01 16:13:12</t>
  </si>
  <si>
    <t>Garcia A.; Mills R.; Lopez J.; Butts J.</t>
  </si>
  <si>
    <t>Garcia, Arturo (57189926016); Mills, Robert (7403036857); Lopez, Juan (7404444269); Butts, Jonathan (7006629005)</t>
  </si>
  <si>
    <t>57189926016; 7403036857; 7404444269; 7006629005</t>
  </si>
  <si>
    <t>Firmware modification analysis in programmable logic controllers</t>
  </si>
  <si>
    <t>9th International Conference on Cyber Warfare and Security 2014, ICCWS 2014</t>
  </si>
  <si>
    <t>https://www.scopus.com/inward/record.uri?eid=2-s2.0-84931070116&amp;partnerID=40&amp;md5=c7683e6a439e8b4df5e6b576c2f44b86</t>
  </si>
  <si>
    <t>Air Force Institute of Technology, Dayton, OH, United States</t>
  </si>
  <si>
    <t>Garcia A., Air Force Institute of Technology, Dayton, OH, United States; Mills R., Air Force Institute of Technology, Dayton, OH, United States; Lopez J., Air Force Institute of Technology, Dayton, OH, United States; Butts J., Air Force Institute of Technology, Dayton, OH, United States</t>
  </si>
  <si>
    <t>Incorporating security in supervisory control and data acquisition (SCADA) systems and sensor networks has proven to be a pervasive problem due to the constraints and demands placed on these systems. Both attackers and security professionals seek to uncover the inherent roots of trust in a system to achieve opposing goals. With SCADA systems, a battle is being fought at the "cyber physical" level, specifically the programmable logic controller (PLC). The Stuxnet worm, which became increasingly apparent in the summer of 2010, has shown that modifications to a SCADA system can be discovered on infected engineering workstations on the network, to include the ladder logic found in the PLC. However, certain firmware modifications made to a PLC can go undetected due to the lack of effective techniques available for detecting them. Current software auditing tools give an analyst a singular view of assembly code and binary difference programs can only show simple differences between assembly codes. Additionally, there appears to be no comprehensive software tool that aids an analyst with evaluating a PLC firmware file for modifications and displaying the resulting effects. Manual analysis is time consuming and error prone. Furthermore, there are not enough talented individuals available in the ICS community with an in-depth knowledge of assembly language and the inner workings of PLC firmware. This paper presents a novel analysis technique that compares a suspected-altered firmware to a known good firmware of a specific PLC and performs a static analysis of differences. This technique includes multiple tests to compare both firmware versions, detect differences in size, and code compatibility such as removing, adding, or modifying existing functions in the original firmware. A proof-of-concept experiment demonstrates the functionality of the analysis tool using different firmware versions from an Allen-Bradley ControlLogix L61 PLC. © Copyright The Authors, 2014. All Rights Reserved.</t>
  </si>
  <si>
    <t>Analysis; Detection; Firmware; Information assurance; Modification; PLC security</t>
  </si>
  <si>
    <t>Codes (symbols); Computer control systems; Controllers; Data acquisition; Error detection; Firmware; Intelligent control; Mobile security; Programmable logic controllers; Programmed control systems; SCADA systems; Sensor networks; Analysis; Analysis techniques; In-depth knowledge; Information assurance; Modification; Programmable logic controllers (PLC); Security professionals; Supervisory control and dataacquisition systems (SCADA); Static analysis</t>
  </si>
  <si>
    <t>Liles S.</t>
  </si>
  <si>
    <t>Academic Conferences Limited</t>
  </si>
  <si>
    <t>978-163266062-6</t>
  </si>
  <si>
    <t>Int. Conf. Cyber Warf. Secur., ICCWS</t>
  </si>
  <si>
    <t>2-s2.0-84931070116</t>
  </si>
  <si>
    <t>2025-09-29 10:01:31</t>
  </si>
  <si>
    <t>Sandaruwan G.P.H.; Ranaweera P.S.; Oleshchuk V.A.</t>
  </si>
  <si>
    <t>Sandaruwan, G.P.H. (56046124300); Ranaweera, P.S. (57192379935); Oleshchuk, Vladimir A. (9237440300)</t>
  </si>
  <si>
    <t>56046124300; 57192379935; 9237440300</t>
  </si>
  <si>
    <t>PLC security and critical infrastructure protection</t>
  </si>
  <si>
    <t>2013 IEEE 8th International Conference on Industrial and Information Systems, ICIIS 2013 - Conference Proceedings</t>
  </si>
  <si>
    <t>6731959</t>
  </si>
  <si>
    <t>10.1109/ICIInfS.2013.6731959</t>
  </si>
  <si>
    <t>https://www.scopus.com/inward/record.uri?eid=2-s2.0-84894439029&amp;doi=10.1109%2fICIInfS.2013.6731959&amp;partnerID=40&amp;md5=d898c334524b3bf6df3f8a443716127e</t>
  </si>
  <si>
    <t>Dept. of Information and Communication Technology, University of Agder (UiA), N-4898 Grimstad, Norway</t>
  </si>
  <si>
    <t>Sandaruwan G.P.H., Dept. of Information and Communication Technology, University of Agder (UiA), N-4898 Grimstad, Norway; Ranaweera P.S., Dept. of Information and Communication Technology, University of Agder (UiA), N-4898 Grimstad, Norway; Oleshchuk V.A., Dept. of Information and Communication Technology, University of Agder (UiA), N-4898 Grimstad, Norway</t>
  </si>
  <si>
    <t>Programmable Logic Controllers (PLCs) are the most important components embedded in Industrial Control Systems (ICSs). ICSs have achieved highest standards in terms of efficiency and performance. As a result of that, higher portion of infrastructure in industries has been automated for the comfort of human beings. Therefore, protection of such systems is crucial. It is important to investigate the vulnerabilities of ICSs in order to solve the threats and attacks against critical infrastructure to protect human lives and assets. PLC is the basic building block of an ICS. If PLCs are exploited, overall system will be exposed to the threat. Many believed that PLCs are secured devices due to its isolation from the external networks of the system. The attacks such as Stuxnet have proven the incorrectness of such thoughts. In this paper we have revealed the vulnerabilities of PLCs through a variety of attack vectors which could affect the related critical infrastructure. Furthermore, we have proposed solutions for such weaknesses in PLC based systems. © 2013 IEEE.</t>
  </si>
  <si>
    <t>critical infrastructure protection; PLC security; PLC vulnerabilities</t>
  </si>
  <si>
    <t>978-147990910-0</t>
  </si>
  <si>
    <t>IEEE Int. Conf. Ind. Inf. Syst., ICIIS - Conf. Proc.</t>
  </si>
  <si>
    <t>2-s2.0-84894439029</t>
  </si>
  <si>
    <t>2025-07-22 09:08:04</t>
  </si>
  <si>
    <t>Basnight Z.; Butts J.; Lopez J.; Dube T.</t>
  </si>
  <si>
    <t>Basnight, Zachry (55744936100); Butts, Jonathan (7006629005); Lopez, Juan (7404444269); Dube, Thomas (8362987800)</t>
  </si>
  <si>
    <t>55744936100; 7006629005; 7404444269; 8362987800</t>
  </si>
  <si>
    <t>Firmware modification attacks on programmable logic controllers</t>
  </si>
  <si>
    <t>10.1016/j.ijcip.2013.04.004</t>
  </si>
  <si>
    <t>https://www.scopus.com/inward/record.uri?eid=2-s2.0-84879786846&amp;doi=10.1016%2fj.ijcip.2013.04.004&amp;partnerID=40&amp;md5=b9b3d698a0ef103631d736bf702f5c74</t>
  </si>
  <si>
    <t>Air Force Institute of Technology, Wright-Patterson Air Force Base, Ohio 45433, United States</t>
  </si>
  <si>
    <t>Basnight Z., Air Force Institute of Technology, Wright-Patterson Air Force Base, Ohio 45433, United States; Butts J., Air Force Institute of Technology, Wright-Patterson Air Force Base, Ohio 45433, United States; Lopez J., Air Force Institute of Technology, Wright-Patterson Air Force Base, Ohio 45433, United States; Dube T., Air Force Institute of Technology, Wright-Patterson Air Force Base, Ohio 45433, United States</t>
  </si>
  <si>
    <t>Recent attacks on industrial control systems, such as the highly publicized Stuxnet malware, have intensified a "race to the bottom" where lower-level attacks have a tactical advantage. Programmable logic controller (PLC) firmware, which provides a software-driven interface between system inputs and physical outputs, can be easily modified at the user level. Efforts directed at protecting against firmware modification are hindered by the lack of foundational research about attack development and implementation. This paper examines the vulnerability of PLCs to intentional firmware modifications in order to obtain a better understanding of the threats posed by PLC firmware modification attacks and the feasibility of these attacks. A general firmware analysis methodology is presented, and a proof-of-concept experiment is used to demonstrate how legitimate firmware can be updated and uploaded to an Allen-Bradley ControlLogix L61 PLC. © 2013.</t>
  </si>
  <si>
    <t>Firmware; Industrial control systems; Modification attacks; Programmable logic controllers; Reverse engineering</t>
  </si>
  <si>
    <t>Controllers; Programmable logic controllers; Programmed control systems; Reverse engineering; Allen-Bradley; Industrial control systems; Malwares; Modification attack; Physical output; Programmable logic controllers (PLC); Proof of concept; User levels; Firmware</t>
  </si>
  <si>
    <t>J. Butts; Air Force Institute of Technology, Wright-Patterson Air Force Base, Ohio 45433, United States; email: jonathan.butts@afit.edu</t>
  </si>
  <si>
    <t>2-s2.0-84879786846</t>
  </si>
  <si>
    <t>2025-09-29 10:01:25</t>
  </si>
  <si>
    <t>Urbina D.; Giraldo J.; Tippenhauer N.O.; Cardenas A.</t>
  </si>
  <si>
    <t>Urbina, David (56509406400); Giraldo, Jairo (54683896900); Tippenhauer, Nils Ole (35106192100); Cardenas, Alvaro (8316952100)</t>
  </si>
  <si>
    <t>56509406400; 54683896900; 35106192100; 8316952100</t>
  </si>
  <si>
    <t>Attacking fieldbus communications in ICS: Applications to the SWaT testbed</t>
  </si>
  <si>
    <t>Cryptology and Information Security Series</t>
  </si>
  <si>
    <t>14</t>
  </si>
  <si>
    <t>10.3233/978-1-61499-617-0-75</t>
  </si>
  <si>
    <t>https://www.scopus.com/inward/record.uri?eid=2-s2.0-84963656202&amp;doi=10.3233%2f978-1-61499-617-0-75&amp;partnerID=40&amp;md5=c73a24ac551463e36852e91b32972432</t>
  </si>
  <si>
    <t>University of Texas at Dallas, 800 Campbell Rd., Richardson, 75080, TX, United States; ISTD, Singapore University of Technology and Design, Singapore</t>
  </si>
  <si>
    <t>Urbina D., University of Texas at Dallas, 800 Campbell Rd., Richardson, 75080, TX, United States; Giraldo J., University of Texas at Dallas, 800 Campbell Rd., Richardson, 75080, TX, United States; Tippenhauer N.O., ISTD, Singapore University of Technology and Design, Singapore; Cardenas A., University of Texas at Dallas, 800 Campbell Rd., Richardson, 75080, TX, United States</t>
  </si>
  <si>
    <t>The study of cyber-attacks in industrial control systems is of growing interest among the research community. Nevertheless, restricted access to real industrial control systems that can be used to test attacks has limited the study of their implementation and potential impact. In this work, we discuss practical attacks applied to a room-sized water treatment testbed. The testbed includes a complete physical process, industrial communication systems, and supervisory controls. We implement scenarios in which the attacker manipulates or replaces sensor data as reported from the field devices to the control components. As a result, the attacker can change the system state vector as perceived by the controls, which will cause incorrect control decisions and potential catastrophic failures. We discuss practical challenges in setting up Man-In-The-Middle attacks on fieldbus communications in the industrial EtherNet/IP protocol and topologies such as Ethernet rings using the Device-Level-Ring protocol. We show how the attacker can overcome those challenges, and insert herself into the ring. Once established as a Man-in-the-Middle attacker, we launched a range of attacks to modify sensor measurements and manipulate actuators. We show the efficacy of the proposed methodology in two experimental examples, where an adversary can intelligently design attacks that remain undetected for a typical bad-data detection mechanism. © 2016 The authors and IOS Press.</t>
  </si>
  <si>
    <t>Critical system; Cyber-attacks; Fieldbus; ICS</t>
  </si>
  <si>
    <t>Computer crime; Control systems; Crime; Ethernet; Industrial research; Integrated circuits; Network security; Testbeds; Water treatment; Catastrophic failures; Critical systems; Cyber-attacks; Fieldbus; Industrial communication systems; Industrial control systems; Industrial Ethernets; Man in the middle attacks; Intelligent control</t>
  </si>
  <si>
    <t>D. Urbina; University of Texas at Dallas, Richardson, 800 Campbell Rd., 75080, United States; email: david.urbina@utdallas.edu</t>
  </si>
  <si>
    <t>Roychoudhury A.; Mathur A.</t>
  </si>
  <si>
    <t>IOS Press</t>
  </si>
  <si>
    <t>18716431</t>
  </si>
  <si>
    <t>978-161499616-3</t>
  </si>
  <si>
    <t>Cryptology Inf. Secur. Ser.</t>
  </si>
  <si>
    <t>2-s2.0-84963656202</t>
  </si>
  <si>
    <t>2025-09-29 09:12:05</t>
  </si>
  <si>
    <t>Mathur A.P.; Tippenhauer N.O.</t>
  </si>
  <si>
    <t>Mathur, Aditya P. (35617351100); Tippenhauer, Nils Ole (35106192100)</t>
  </si>
  <si>
    <t>35617351100; 35106192100</t>
  </si>
  <si>
    <t>SWaT: A water treatment testbed for research and training on ICS security</t>
  </si>
  <si>
    <t>2016 International Workshop on Cyber-physical Systems for Smart Water Networks, CySWater 2016</t>
  </si>
  <si>
    <t>7469060</t>
  </si>
  <si>
    <t>10.1109/CySWater.2016.7469060</t>
  </si>
  <si>
    <t>https://www.scopus.com/inward/record.uri?eid=2-s2.0-84974661416&amp;doi=10.1109%2fCySWater.2016.7469060&amp;partnerID=40&amp;md5=6e78bb4a3d933966c57eb78c1d8a5457</t>
  </si>
  <si>
    <t>Singapore University of Technology and Design, 8 Somapah Road, Singapore, 487372, Singapore</t>
  </si>
  <si>
    <t>Mathur A.P., Singapore University of Technology and Design, 8 Somapah Road, Singapore, 487372, Singapore; Tippenhauer N.O., Singapore University of Technology and Design, 8 Somapah Road, Singapore, 487372, Singapore</t>
  </si>
  <si>
    <t>This paper presents the SWaT testbed, a modern industrial control system (ICS) for security research and training. SWaT is currently in use to (a) understand the impact of cyber and physical attacks on a water treatment system, (b) assess the effectiveness of attack detection algorithms, (c) assess the effectiveness of defense mechanisms when the system is under attack, and (d) understand the cascading effects of failures in one ICS on another dependent ICS. SWaT consists of a 6-stage water treatment process, each stage is autonomously controlled by a local PLC. The local fieldbus communications between sensors, actuators, and PLCs is realized through alternative wired and wireless channels. While the experience with the testbed indicates its value in conducting research in an active and realistic environment, it also points to design limitations that make it difficult for system identification and attack detection in some experiments. © 2016 IEEE.</t>
  </si>
  <si>
    <t>Cyber Attacks; Cyber Defense; Cyber Physical Systems; Industrial Control Systems; Water Testbed</t>
  </si>
  <si>
    <t>Computer crime; Control systems; Embedded systems; Industrial research; Network security; Testbeds; Water treatment; Cyber defense; Cyber physical systems (CPSs); Cyber-attacks; Industrial control systems; Realistic environments; Water treatment process; Water treatment systems; Wired and wireless; Intelligent control</t>
  </si>
  <si>
    <t>A.P. Mathur; Singapore University of Technology and Design, Singapore, 8 Somapah Road, 487372, Singapore; email: adityamathur@sutd.edu.sg</t>
  </si>
  <si>
    <t>978-150901161-2</t>
  </si>
  <si>
    <t>Int. Workshop Cyber-phys. Syst. Smart Water Netw., CySWater</t>
  </si>
  <si>
    <t>2-s2.0-84974661416</t>
  </si>
  <si>
    <t>2025-09-29 15:10:57</t>
  </si>
  <si>
    <t>ThreatAnalysisMethodology: TAVI Model (Protocol based)</t>
  </si>
  <si>
    <t>Drias Z.; Serhrouchni A.; Vogel O.</t>
  </si>
  <si>
    <t>Drias, Zakarya (57112608300); Serhrouchni, Ahmed (6602253169); Vogel, Olivier (57111901400)</t>
  </si>
  <si>
    <t>57112608300; 6602253169; 57111901400</t>
  </si>
  <si>
    <t>Taxonomy of attacks on industrial control protocols</t>
  </si>
  <si>
    <t>International Conference on Protocol Engineering, ICPE 2015 and International Conference on New Technologies of Distributed Systems, NTDS 2015 - Proceedings</t>
  </si>
  <si>
    <t>7293513</t>
  </si>
  <si>
    <t>10.1109/NOTERE.2015.7293513</t>
  </si>
  <si>
    <t>https://www.scopus.com/inward/record.uri?eid=2-s2.0-84962243463&amp;doi=10.1109%2fNOTERE.2015.7293513&amp;partnerID=40&amp;md5=c3794034b00ffa5e7477382c74db6f44</t>
  </si>
  <si>
    <t>Schneider Electric, Carros, France; Telecom ParisTech, Paris, France</t>
  </si>
  <si>
    <t>Drias Z., Schneider Electric, Carros, France; Serhrouchni A., Telecom ParisTech, Paris, France; Vogel O., Schneider Electric, Carros, France</t>
  </si>
  <si>
    <t>Industrial control systems (ICS) are highly distributed information systems used to control and monitor critical infrastructures such as nuclear plants, power generation and distribution plants, Oil and Gas and many other facilities. The main architecture principles of ICS are; real time response, high availability and reliability. For these specific purposes, several protocols has been designed to ensure the control and supervision operations. Modbus and DNP3 are the most used protocols in the ICS world due to their compliance with real time needs. With the increasing of the connectivity to the internet world for business reasons, ICS adopted Internet based technologies and most of communication protocols are redesigned to work over IP. This openness exposed the ICS components as well as communication protocols to cyber-attacks with a higher risk than attacks on traditional IT systems. In order to facilitate the risk assessment of cyber-attacks on ICS protocols we propose a taxonomy model of different identified attacks on Modbus and DNP3.the model is based on the threat origin, threat type, attack type, attack scenario, vulnerability type and the impact of the attack. We populate this Taxonomy model with identified attacks on Modbus and DNP3 from previous academic and industrial works. © 2015 IEEE.</t>
  </si>
  <si>
    <t>Attack Taxonomy; DNP3; ICS; Modbus</t>
  </si>
  <si>
    <t>Computer crime; Crime; Distributed computer systems; Distributed parameter control systems; Gas plants; Industrial plants; Integrated circuits; Intelligent control; Internet; Risk assessment; Risk perception; Taxonomies; Control and monitor; Distributed information systems; DNP3; Industrial control systems; Industrial controls; Internet based technology; Modbus; Real time response; Internet protocols</t>
  </si>
  <si>
    <t>978-146739265-5</t>
  </si>
  <si>
    <t>Int. Conf. Protoc. Eng., ICPE  Int. Conf. New Technol. Distributed Syst., NTDS - Proc.</t>
  </si>
  <si>
    <t>2-s2.0-84962243463</t>
  </si>
  <si>
    <t>2025-07-21 20:40:17</t>
  </si>
  <si>
    <t>Lemay A.; Fernandez J.M.; Knight S.</t>
  </si>
  <si>
    <t>Lemay, Antoine (56131542700); Fernandez, Jose M. (56839379300); Knight, Scott (19640300600)</t>
  </si>
  <si>
    <t>56131542700; 56839379300; 19640300600</t>
  </si>
  <si>
    <t>A Modbus command and control channel</t>
  </si>
  <si>
    <t>10th Annual International Systems Conference, SysCon 2016 - Proceedings</t>
  </si>
  <si>
    <t>7490631</t>
  </si>
  <si>
    <t>10.1109/SYSCON.2016.7490631</t>
  </si>
  <si>
    <t>https://www.scopus.com/inward/record.uri?eid=2-s2.0-84979270679&amp;doi=10.1109%2fSYSCON.2016.7490631&amp;partnerID=40&amp;md5=0bfd4210b4e529f1f47f78f696fcbddf</t>
  </si>
  <si>
    <t>Département de Génie Informatique et Génie Logiciel, École Polytechnique de Montreál, Montreal, Canada; Department of Electrical and Computer Engineering, Royal Military College of Canada, Kingston, Canada</t>
  </si>
  <si>
    <t>Lemay A., Département de Génie Informatique et Génie Logiciel, École Polytechnique de Montreál, Montreal, Canada; Fernandez J.M., Département de Génie Informatique et Génie Logiciel, École Polytechnique de Montreál, Montreal, Canada; Knight S., Department of Electrical and Computer Engineering, Royal Military College of Canada, Kingston, Canada</t>
  </si>
  <si>
    <t>Since the discovery of Stuxnet, it is no secret that skilled adversaries target industrial control systems. To defend against this threat, defenders increasingly rely on intrusion detection and segmentation. As the security posture improves, it is likely that the attackers will move to stealthier approaches, such as covert channels. This paper presents a command and control (C&amp;C) covert channel over the Modbus/TCP protocol that represents the next logical step for the attackers and evaluates its suitability. The channel stores information in the least significant bits of holding registers to carry information using Modbus read and write methods. This offers an explicit tradeoff between the bandwidth and stealth of the channel that can be set by the attacker. © 2016 IEEE.</t>
  </si>
  <si>
    <t>command and control channel; covert channel; Industrial control systems security</t>
  </si>
  <si>
    <t>Control systems; Intrusion detection; Command and control; Covert channels; Industrial control systems; Least significant bits; Modbus/tcp; Stuxnet; Command and control systems</t>
  </si>
  <si>
    <t>978-146739518-2</t>
  </si>
  <si>
    <t>Annu. Int. Syst. Conf., SysCon - Proc.</t>
  </si>
  <si>
    <t>2-s2.0-84979270679</t>
  </si>
  <si>
    <t>2025-09-29 09:58:08</t>
  </si>
  <si>
    <t>Analysis of programmable logic controller firmware for threat assessment and forensic investigation</t>
  </si>
  <si>
    <t>8th International Conference on Information Warfare and Security, ICIW 2013</t>
  </si>
  <si>
    <t>https://www.scopus.com/inward/record.uri?eid=2-s2.0-84893089061&amp;partnerID=40&amp;md5=042d67d670d1686428caac4c076900ab</t>
  </si>
  <si>
    <t>Air Force Institute of Technology, Wright-Patterson Air Force Base, United States</t>
  </si>
  <si>
    <t>Basnight Z., Air Force Institute of Technology, Wright-Patterson Air Force Base, United States; Butts J., Air Force Institute of Technology, Wright-Patterson Air Force Base, United States; Lopez J., Air Force Institute of Technology, Wright-Patterson Air Force Base, United States; Dube T., Air Force Institute of Technology, Wright-Patterson Air Force Base, United States</t>
  </si>
  <si>
    <t>Modern industrial control systems (ICSs) regulate operations over a variety of different applications. Of most interest to national security is the role ICSs play in the management of critical infrastructure (CI) such as the national power grid, water treatment, and chemical industry. The control systems used in such sectors are developing into highly networked collections of distributed devices. Unfortunately, security has only recently become a topic of major concern for these devices. This leaves many implementations without secure configurations due to their long lifespan compared to the rate of advancing threats. In the paradigm of ICSs, programmable logic controllers (PLCs) represent the front line between the cyber world and physical systems. Attacks like Stuxnet have already proven the effectiveness of cyber-physical attacks by altering and disguising PLC programming, but the next generation of threats will likely focus on PLC firmware. Just as traditional computer malware evolved to hide itself using operating system-level rootkits, so will ICS attacks evolve to embed themselves in the PLC equivalent: the firmware. Since little research has been done in the area of PLC firmware security, this paper begins by addressing the related security concerns. One such concern is the application of digital forensics to a potential incident of ICS attack. Forensic investigations of digital devices have traditionally been limited to the analysis of typical computer systems like desktops or laptops. As forensic capabilities begin to expand into the scope of embedded devices like smartphones, parallels can be drawn to PLCs that will enable the development of more advanced forensic tools and processes. By performing a firmware analysis through reverse engineering, a PLC can be exploited for both malicious and forensic purposes. This paper discusses the techniques and procedures required to access, inspect, and manipulate firmware for an Allen-Bradley PLC to suit the purposes of the examiner. From this analysis, lessons can be learned not only about the capabilities and methods required by a potential attacker, but also about the accessibility and effectiveness of recovering PLC firmware for forensic investigation of a potential attack.</t>
  </si>
  <si>
    <t>Embedded device; Firmware; Forensics; Industrial control system; Programmable logic controller; Threat assessment</t>
  </si>
  <si>
    <t>Chemical analysis; Computer circuits; Controllers; Cybersecurity; Digital devices; Electric power transmission networks; Firmware; Malware; National security; Network security; Reverse engineering; Assessment investigations; Distributed devices; Embedded device; Forensic; Forensic investigation; Industrial control systems; National power; Power grids; Secure configuration; Threat assessment; Programmable logic controllers</t>
  </si>
  <si>
    <t xml:space="preserve">Academic Conferences Ltd </t>
  </si>
  <si>
    <t>978-162748017-8</t>
  </si>
  <si>
    <t>Int. Conf. Inform. Warf. Secur.</t>
  </si>
  <si>
    <t>2-s2.0-84893089061</t>
  </si>
  <si>
    <t>2025-09-29 09:49:55</t>
  </si>
  <si>
    <t>Not Related ICS</t>
  </si>
  <si>
    <t>Sridhar S.; Hahn A.; Govindarasu M.</t>
  </si>
  <si>
    <t>Sridhar, Siddharth (57200748142); Hahn, Adam (36625254200); Govindarasu, Manimaran (7003605825)</t>
  </si>
  <si>
    <t>57200748142; 36625254200; 7003605825</t>
  </si>
  <si>
    <t>Cyber attack-resilient control for smart grid</t>
  </si>
  <si>
    <t>2012 IEEE PES Innovative Smart Grid Technologies, ISGT 2012</t>
  </si>
  <si>
    <t>6175567</t>
  </si>
  <si>
    <t>10.1109/ISGT.2012.6175567</t>
  </si>
  <si>
    <t>https://www.scopus.com/inward/record.uri?eid=2-s2.0-84860871070&amp;doi=10.1109%2fISGT.2012.6175567&amp;partnerID=40&amp;md5=3dc206614660d3ce986b7ac10eb6093a</t>
  </si>
  <si>
    <t>Department of Electrical and Computer Engineering, Iowa State University, United States</t>
  </si>
  <si>
    <t>Sridhar S., Department of Electrical and Computer Engineering, Iowa State University, United States; Hahn A., Department of Electrical and Computer Engineering, Iowa State University, United States; Govindarasu M., Department of Electrical and Computer Engineering, Iowa State University, United States</t>
  </si>
  <si>
    <t>The smart grid further intensifies the dependence of power system operation on cyber infrastructure for control and monitoring purposes. With the advent of new-generation applications like wide-area measurement systems and demand side management, power utilities are in the process of planing/ building additional communication infrastructure to support their operational requirements. This expansion increases the effective attack surface available to an adversary and exposes the control applications that depend on it. Hence, in addition to improving cyber security of the communication network, it becomes imperative to develop control system algorithms that are both, attack resilient and tolerant. In this paper, we identify the types of cyber attacks that are directed at industrial control systems. We then identify key control loops in power systems operation and then determine the types of attacks that will be effective against each control loop. In the end, we present basic concepts of attack resilient control. © 2012 IEEE.</t>
  </si>
  <si>
    <t>Cyber-Physical Systems; SCADA; Smart Grid</t>
  </si>
  <si>
    <t>Crime; Embedded systems; Network security; SCADA systems; Basic concepts; Communication infrastructure; Control and monitoring; Control applications; Control loop; Cyber infrastructures; Cyber physical systems (CPSs); Cyber security; Cyber-attacks; Demand side managements; Industrial control systems; Key control; Operational requirements; Power system operations; Power systems operation; Power utility; Resilient control; SCADA; Smart grid; System algorithm; Wide area measurement systems; Smart power grids</t>
  </si>
  <si>
    <t>978-145772158-8</t>
  </si>
  <si>
    <t>IEEE PES Innov. Smart Grid Technol., ISGT</t>
  </si>
  <si>
    <t>2-s2.0-84860871070</t>
  </si>
  <si>
    <t>2025-07-24 14:10:34</t>
  </si>
  <si>
    <t>Downloadable</t>
  </si>
  <si>
    <t>Rao V.M.; Francis R.A.</t>
  </si>
  <si>
    <t>Rao, V.M. (57131920800); Francis, R.A. (26767611700)</t>
  </si>
  <si>
    <t>57131920800; 26767611700</t>
  </si>
  <si>
    <t>Risk analysis of cyber vulnerabilities in water distribution industrial control systems</t>
  </si>
  <si>
    <t>Safety and Reliability of Complex Engineered Systems - Proceedings of the 25th European Safety and Reliability Conference, ESREL 2015</t>
  </si>
  <si>
    <t>10.1201/b19094-473</t>
  </si>
  <si>
    <t>https://www.scopus.com/inward/record.uri?eid=2-s2.0-84959020570&amp;doi=10.1201%2fb19094-473&amp;partnerID=40&amp;md5=79d734a85e270ca8d19fe0fa5036a7ea</t>
  </si>
  <si>
    <t>The George Washington University, Washington, DC, United States</t>
  </si>
  <si>
    <t>Rao V.M., The George Washington University, Washington, DC, United States; Francis R.A., The George Washington University, Washington, DC, United States</t>
  </si>
  <si>
    <t>Cyber attacks are an emerging threat to critical infrastructure systems worldwide. We focus on water, recognizing that water is vital for human health and to the function of other critical infrastructures. A cyber attack targets control and monitoring systems of a water utility, known as Supervisory Control and Data Acquisition (SCADA) systems, and disrupts water operations. Current research is inadequate in developing critical risk assessments using scenario based risk metrics to characterize vulnerabilities in the SCADA networks. Such work forms the basis for a risk-informed management process. This research constructs a scenario-based risk assessment of water treatment and distribution system cybervulnerabilities. We identify vulnerable elements of the network, conduct a failure analysis, and create fault trees for a selected set of cyber intrusion scenarios. Future research will focus on expert elicitation of probabilities of failure of selected events, with the goal of informing decision makers about risk management and mitigation strategies. © 2015 Taylor &amp; Francis Group, London.</t>
  </si>
  <si>
    <t>Computer crime; Control system analysis; Critical infrastructures; Man machine systems; Network security; Public works; Reliability; Risk analysis; Risk management; Risk perception; Safety engineering; SCADA systems; Water supply systems; Water treatment; Control and monitoring systems; Critical infrastructure systems; Cyber vulnerabilities; Distribution systems; Industrial control systems; Risk management and mitigations; Supervisory control and dataacquisition systems (SCADA); Water distributions; Risk assessment</t>
  </si>
  <si>
    <t>Podofillini L.; Sudret B.; Stojadinović B.; Zio E.; Kröger W.</t>
  </si>
  <si>
    <t>978-113802879-1</t>
  </si>
  <si>
    <t>Saf. Reliab. Complex. Eng. syst. - Proc. Eur. Saf. Reliab. Conf.</t>
  </si>
  <si>
    <t>2-s2.0-84959020570</t>
  </si>
  <si>
    <t>2025-07-21 20:38:49</t>
  </si>
  <si>
    <t>Siddavatam I.A.; Kazi F.</t>
  </si>
  <si>
    <t>Siddavatam, Irfan A. (37007762300); Kazi, Faruk (36455806600)</t>
  </si>
  <si>
    <t>37007762300; 36455806600</t>
  </si>
  <si>
    <t>Security assessment framework for cyber physical systems: A case-study of DNP3 protocol</t>
  </si>
  <si>
    <t>2015 IEEE Bombay Section Symposium: Frontiers of Technology: Fuelling Prosperity of Planet and People, IBSS 2015</t>
  </si>
  <si>
    <t>7456631</t>
  </si>
  <si>
    <t>10.1109/IBSS.2015.7456631</t>
  </si>
  <si>
    <t>https://www.scopus.com/inward/record.uri?eid=2-s2.0-84969940865&amp;doi=10.1109%2fIBSS.2015.7456631&amp;partnerID=40&amp;md5=5d3642c1745c340e50f7cc9432a1bd4e</t>
  </si>
  <si>
    <t>Department of Electrical Engg, Veermata Jijabai Technological Institute, Mumbai, 400019, India</t>
  </si>
  <si>
    <t>Siddavatam I.A., Department of Electrical Engg, Veermata Jijabai Technological Institute, Mumbai, 400019, India; Kazi F., Department of Electrical Engg, Veermata Jijabai Technological Institute, Mumbai, 400019, India</t>
  </si>
  <si>
    <t>Industrial control system (ICS) is a critical component in realizing Cyber physical system (CPS). ICS designed with traditional SCADA platforms have a small percentage or no native security, since they were never designed to be operated remotely and over the Internet. Security of these critical systems relies heavily on communication protocols. DNP3 is one of the most widely used protocols by SCADA system to communicate between the master and slave station. IEEE 1815-2012 is the current standard for DNP3 having goal to provide cyber security based on IEC/TS 62351-15. This paper investigates the buoyancy of DNP3 towards attacks as passive Network reconnaissance, Base line response replay, Rogue interloper, Event buffer flooding and TCP veto. Paper concludes by comments on new set of Improper input validation vulnerability. © 2015 IEEE.</t>
  </si>
  <si>
    <t>DNP3; Network security; SCADA protocols; SCADA system</t>
  </si>
  <si>
    <t>Embedded systems; Intelligent control; Network protocols; SCADA systems; Transmission control protocol; Cyber physical systems (CPSs); Cyber-physical systems (CPS); DNP3; Industrial control systems; Master and slave stations; Network reconnaissance; SCADA Protocols; Security assessment framework; Network security</t>
  </si>
  <si>
    <t>978-146739542-7</t>
  </si>
  <si>
    <t>IEEE Bombay Sect. Symp.: Front. Technol.: Fuelling Prosper. Planet People, IBSS</t>
  </si>
  <si>
    <t>2-s2.0-84969940865</t>
  </si>
  <si>
    <t>2025-08-01 10:49:38</t>
  </si>
  <si>
    <t>Kang B.; Maynard P.; McLaughlin K.; Sezer S.; Andrén F.; Seitl C.; Kupzog F.; Strasser T.</t>
  </si>
  <si>
    <t>Kang, BooJoong (35728940000); Maynard, Peter (57215729622); McLaughlin, Kieran (36604899500); Sezer, Sakir (7004935772); Andrén, Filip (50261032500); Seitl, Christian (56028820700); Kupzog, Friederich (23489731000); Strasser, Thomas (7102357958)</t>
  </si>
  <si>
    <t>35728940000; 57215729622; 36604899500; 7004935772; 50261032500; 56028820700; 23489731000; 7102357958</t>
  </si>
  <si>
    <t>Investigating cyber-physical attacks against IEC 61850 photovoltaic inverter installations</t>
  </si>
  <si>
    <t>IEEE International Conference on Emerging Technologies and Factory Automation, ETFA</t>
  </si>
  <si>
    <t>2015-October</t>
  </si>
  <si>
    <t>7301457</t>
  </si>
  <si>
    <t>10.1109/ETFA.2015.7301457</t>
  </si>
  <si>
    <t>https://www.scopus.com/inward/record.uri?eid=2-s2.0-84952888996&amp;doi=10.1109%2fETFA.2015.7301457&amp;partnerID=40&amp;md5=4e64075e16ce44eee5f62b308d0d281d</t>
  </si>
  <si>
    <t>CSIT Centre for Secure Information Technologies, Queen's University Belfast, United Kingdom; AIT Austrian Institute of Technology, Energy Department, Electric Energy Systems, Vienna, Austria</t>
  </si>
  <si>
    <t>Kang B., CSIT Centre for Secure Information Technologies, Queen's University Belfast, United Kingdom; Maynard P., CSIT Centre for Secure Information Technologies, Queen's University Belfast, United Kingdom; McLaughlin K., CSIT Centre for Secure Information Technologies, Queen's University Belfast, United Kingdom; Sezer S., CSIT Centre for Secure Information Technologies, Queen's University Belfast, United Kingdom; Andrén F., AIT Austrian Institute of Technology, Energy Department, Electric Energy Systems, Vienna, Austria; Seitl C., AIT Austrian Institute of Technology, Energy Department, Electric Energy Systems, Vienna, Austria; Kupzog F., AIT Austrian Institute of Technology, Energy Department, Electric Energy Systems, Vienna, Austria; Strasser T., AIT Austrian Institute of Technology, Energy Department, Electric Energy Systems, Vienna, Austria</t>
  </si>
  <si>
    <t>Cyber-attacks against Smart Grids have been found in the real world. Malware such as Havex and BlackEnergy have been found targeting industrial control systems (ICS) and researchers have shown that cyber-attacks can exploit vulnerabilities in widely used Smart Grid communication standards. This paper addresses a deep investigation of attacks against the manufacturing message specification of IEC 61850, which is expected to become one of the most widely used communication services in Smart Grids. We investigate how an attacker can build a custom tool to execute man-in-the-middle attacks, manipulate data, and affect the physical system. Attack capabilities are demonstrated based on NESCOR scenarios to make it possible to thoroughly test these scenarios in a real system. The goal is to help understand the potential for such attacks, and to aid the development and testing of cyber security solutions. An attack use-case is presented that focuses on the standard for power utility automation, IEC 61850 in the context of inverter-based distributed energy resource devices; especially photovoltaics (PV) generators. © 2015 IEEE.</t>
  </si>
  <si>
    <t>IEC 61850; man-in-the-middle attack; photovoltaics; Smart Grid security</t>
  </si>
  <si>
    <t>Automation; Computer crime; Crime; Electric inverters; Electric power system protection; Electric power transmission networks; Electric substations; Energy resources; Factory automation; Intelligent control; Network security; Smart power grids; Standards; Distributed Energy Resources; IEC 61850; Industrial control systems; Man in the middle attacks; Manufacturing message specification; Photovoltaics; Smart grid; Smart Grid Communications; Malware</t>
  </si>
  <si>
    <t>19460740</t>
  </si>
  <si>
    <t>978-146737929-8</t>
  </si>
  <si>
    <t>85ROA</t>
  </si>
  <si>
    <t>IEEE Int. Conf. Emerging Technol. Factory Autom., ETFA</t>
  </si>
  <si>
    <t>2-s2.0-84952888996</t>
  </si>
  <si>
    <t>2025-08-01 10:27:27</t>
  </si>
  <si>
    <t>ContainsThreats: Protocol</t>
  </si>
  <si>
    <t>Mirian A.; Ma Z.; Adrian D.; Tischer M.; Chuenchujit T.; Yardley T.; Berthier R.; Mason J.; Durumeric Z.; Halderman J.A.; Bailey M.</t>
  </si>
  <si>
    <t>Mirian, Ariana (57053477800); Ma, Zane (57194208426); Adrian, David (56416174300); Tischer, Matthew (57191161529); Chuenchujit, Thasphon (57194213878); Yardley, Tim (35178871000); Berthier, Robin (22978404300); Mason, Joshua (57194212279); Durumeric, Zakir (55961095700); Halderman, J. Alex (8443012200); Bailey, Michael (8442510000)</t>
  </si>
  <si>
    <t>57053477800; 57194208426; 56416174300; 57191161529; 57194213878; 35178871000; 22978404300; 57194212279; 55961095700; 8443012200; 8442510000</t>
  </si>
  <si>
    <t>An Internet-wide view of ICS devices</t>
  </si>
  <si>
    <t>2016 14th Annual Conference on Privacy, Security and Trust, PST 2016</t>
  </si>
  <si>
    <t>7906943</t>
  </si>
  <si>
    <t>10.1109/PST.2016.7906943</t>
  </si>
  <si>
    <t>https://www.scopus.com/inward/record.uri?eid=2-s2.0-85019210345&amp;doi=10.1109%2fPST.2016.7906943&amp;partnerID=40&amp;md5=32dcb86c94fb0a410b369bf993be7679</t>
  </si>
  <si>
    <t>University of Michigan, United States; University of Illinois, Urbana-Champaign, United States</t>
  </si>
  <si>
    <t>Mirian A., University of Michigan, United States; Ma Z., University of Illinois, Urbana-Champaign, United States; Adrian D., University of Michigan, United States; Tischer M., University of Illinois, Urbana-Champaign, United States; Chuenchujit T., University of Illinois, Urbana-Champaign, United States; Yardley T., University of Illinois, Urbana-Champaign, United States; Berthier R., University of Illinois, Urbana-Champaign, United States; Mason J., University of Illinois, Urbana-Champaign, United States; Durumeric Z., University of Michigan, United States, University of Illinois, Urbana-Champaign, United States; Halderman J.A., University of Michigan, United States; Bailey M., University of Illinois, Urbana-Champaign, United States</t>
  </si>
  <si>
    <t>Industrial control systems have become ubiquitous, enabling the remote, electronic control of physical equipment and sensors. Originally designed to operate on closed networks, the protocols used by these devices have no built-in security. However, despite this, an alarming number of systems are connected to the public Internet and an attacker who finds a device often can cause catastrophic damage to physical infrastructure. We consider two aspects of ICS security in this work: (1) what devices have been inadvertently exposed on the public Internet, and (2) who is searching for vulnerable systems. First, we implement five common SCADA protocols in ZMap and conduct a survey of the public IPv4 address space finding more than 60K publicly accessible systems. Second, we use a large network telescope and high-interaction honeypots to find and profile actors searching for devices. We hope that our findings can both motivate and inform future work on securing industrial control systems. © 2016 IEEE.</t>
  </si>
  <si>
    <t>Control systems; Intelligent control; Internet; Network protocols; SCADA systems; Catastrophic damage; Electronic controls; Industrial control systems; Physical equipment; Public internet; Publicly accessible; SCADA Protocols; Vulnerable systems; Network security</t>
  </si>
  <si>
    <t>978-150904379-8</t>
  </si>
  <si>
    <t>Annu. Conf. Priv., Secur. Trust, PST</t>
  </si>
  <si>
    <t>2-s2.0-85019210345</t>
  </si>
  <si>
    <t>2025-09-29 13:05:03</t>
  </si>
  <si>
    <t>Kang D.-H.; Kim B.-K.; Na J.-C.</t>
  </si>
  <si>
    <t>Kang, Dong-Ho (37074883400); Kim, Byoung-Koo (35755738000); Na, Jung-Chan (7103258601)</t>
  </si>
  <si>
    <t>37074883400; 35755738000; 7103258601</t>
  </si>
  <si>
    <t>Cyber threats and defence approaches in SCADA systems</t>
  </si>
  <si>
    <t>International Conference on Advanced Communication Technology, ICACT</t>
  </si>
  <si>
    <t>6778974</t>
  </si>
  <si>
    <t>10.1109/ICACT.2014.6778974</t>
  </si>
  <si>
    <t>https://www.scopus.com/inward/record.uri?eid=2-s2.0-84899032100&amp;doi=10.1109%2fICACT.2014.6778974&amp;partnerID=40&amp;md5=286dfaf4715d2c746db287aac299e880</t>
  </si>
  <si>
    <t>Convergence Security Research Section, ETRI (Electronics and Telecommunications Research Institute), South Korea</t>
  </si>
  <si>
    <t>Kang D.-H., Convergence Security Research Section, ETRI (Electronics and Telecommunications Research Institute), South Korea; Kim B.-K., Convergence Security Research Section, ETRI (Electronics and Telecommunications Research Institute), South Korea; Na J.-C., Convergence Security Research Section, ETRI (Electronics and Telecommunications Research Institute), South Korea</t>
  </si>
  <si>
    <t>The use of SCADA systems has been increased since the 1960s as a need arose to more efficiently monitor and control the status of remote equipment. And they are becoming more and more susceptible to cyber-attacks due to utilize standard protocols and increase connectivity. The objective of this paper is to introduce our on-going work and discuss challenges and opportunities for preventing network and application protocol attacks on SCADA systems. © 2014 Global IT Research Institute (GIRI).</t>
  </si>
  <si>
    <t>Cyber-attacks; ICS Security; Industrial Firewall; Network Security; SCADA</t>
  </si>
  <si>
    <t>Communication systems; Intelligent control; Network security; SCADA systems; Application protocols; Cyber threats; Cyber-attacks; ICS Security; Industrial Firewall; Monitor and control; SCADA; Standard protocols; Computer crime</t>
  </si>
  <si>
    <t>17389445</t>
  </si>
  <si>
    <t>978-899686503-2</t>
  </si>
  <si>
    <t>Int. Conf. Adv. Commun. Technol. ICACT</t>
  </si>
  <si>
    <t>2-s2.0-84899032100</t>
  </si>
  <si>
    <t>2025-09-29 09:25:08</t>
  </si>
  <si>
    <t>Vaddiraj A.; Koilpillai J.; Seshadri R.; Manjrekar M.</t>
  </si>
  <si>
    <t>Vaddiraj, Alekhya (56449271700); Koilpillai, Juanita (56741492600); Seshadri, Rohit (8216138000); Manjrekar, Madhav (6602000059)</t>
  </si>
  <si>
    <t>56449271700; 56741492600; 8216138000; 6602000059</t>
  </si>
  <si>
    <t>Model to quantify digital risks for power grids integrating electrical system and cyber data models</t>
  </si>
  <si>
    <t>2015-June</t>
  </si>
  <si>
    <t>June</t>
  </si>
  <si>
    <t>7132995</t>
  </si>
  <si>
    <t>10.1109/SECON.2015.7132995</t>
  </si>
  <si>
    <t>https://www.scopus.com/inward/record.uri?eid=2-s2.0-84938150723&amp;doi=10.1109%2fSECON.2015.7132995&amp;partnerID=40&amp;md5=0d806cad9bc6d06c342a423d043fe840</t>
  </si>
  <si>
    <t>Waverley Labs LLC, PO 213, Waterford, 20197, VA, United States; Department of Electrical and Computer Engineering, University of North Carolina - Charlotte, 9201, University City Blvd, Charlotte, 28223, NC, United States</t>
  </si>
  <si>
    <t>Vaddiraj A., Waverley Labs LLC, PO 213, Waterford, 20197, VA, United States; Koilpillai J., Waverley Labs LLC, PO 213, Waterford, 20197, VA, United States; Seshadri R., Department of Electrical and Computer Engineering, University of North Carolina - Charlotte, 9201, University City Blvd, Charlotte, 28223, NC, United States; Manjrekar M., Department of Electrical and Computer Engineering, University of North Carolina - Charlotte, 9201, University City Blvd, Charlotte, 28223, NC, United States</t>
  </si>
  <si>
    <t>Modern substation integrated systems trend to increase the level of power system automation and remote accesibility, to deliver information to a wide range of users in near real time and also allow to control number of tasks that streamline operations and perfomance [1]. This drastic increase in sophistication of the automation and hidden interconnections (eg. to the Internet), is exposing the electric power industry to a growing risk of electronic intrusions. As seen today, every month there are reports of threats and attacks from hackers, disgruntled employees, and terrorists attempting to breach and/or corrupt sensitive control systems of utilities. However, many defensive techniques and practices have been used to reduce the chances of cyber attack and electronic intrusions [2]. This paper analyzes early and potentially mature models using the Real Time Digital Simulator (RTDS) and will surface the access points/control levers vulnerable to cyber intrusions, that include timely mitigations to limit their impacts. © 2015 IEEE.</t>
  </si>
  <si>
    <t>ICS-CERT; Real Time Digital Simulator; Risk quantification; SCADA</t>
  </si>
  <si>
    <t>Computer crime; Cybersecurity; Electric industry; Electric power system control; Electric power transmission networks; Real time systems; SCADA systems; Accesibility; Electrical systems; ICS-CERT; Integrated systems; Near-real time; Power grids; Power system automation; Real-time digital simulator; Risk quantification; SCADA; Personal computing</t>
  </si>
  <si>
    <t>978-146737300-5</t>
  </si>
  <si>
    <t>2-s2.0-84938150723</t>
  </si>
  <si>
    <t>2025-07-22 10:54:42</t>
  </si>
  <si>
    <t>High Level</t>
  </si>
  <si>
    <t>Song K.-Y.; Yu K.-S.; Lim D.</t>
  </si>
  <si>
    <t>Song, Kyoung-Young (24333075100); Yu, Ki-Soon (57189041019); Lim, Daewoon (7401814999)</t>
  </si>
  <si>
    <t>24333075100; 57189041019; 7401814999</t>
  </si>
  <si>
    <t>Secure frame format for avoiding replay attack in Distributed Network Protocol (DNP3)</t>
  </si>
  <si>
    <t>International Conference on ICT Convergence 2015: Innovations Toward the IoT, 5G, and Smart Media Era, ICTC 2015</t>
  </si>
  <si>
    <t>7354560</t>
  </si>
  <si>
    <t>10.1109/ICTC.2015.7354560</t>
  </si>
  <si>
    <t>https://www.scopus.com/inward/record.uri?eid=2-s2.0-84964826126&amp;doi=10.1109%2fICTC.2015.7354560&amp;partnerID=40&amp;md5=e98dff8f6566ab6767c9ca915ae939b0</t>
  </si>
  <si>
    <t>School of Electrical and Electronic Engineering, Ulsan College, Ulsan, 44510, South Korea; Department of Information and Communication Engineering, Dongguk University, Seoul, 07395, South Korea</t>
  </si>
  <si>
    <t>Song K.-Y., School of Electrical and Electronic Engineering, Ulsan College, Ulsan, 44510, South Korea; Yu K.-S., Department of Information and Communication Engineering, Dongguk University, Seoul, 07395, South Korea; Lim D., Department of Information and Communication Engineering, Dongguk University, Seoul, 07395, South Korea</t>
  </si>
  <si>
    <t>Distributed Network Protocol (DNP3) is a set of communications protocols used between components in industrial control systems, especially power electric systems. Those systems should have integrity, low complexity, authentication and so on. Among them, the scheme using cyclic shift operation that can satisfy the integrity and complexity is addressed. Furthermore, another scheme using undetected burst error pattern is also proposed. © 2015 IEEE.</t>
  </si>
  <si>
    <t>Complex networks; Electric power system control; Network protocols; Burst errors; Communications protocols; Cyclic shifts; Distributed network protocols; Frame format; Industrial control systems; Power electric; Replay attack; Network security</t>
  </si>
  <si>
    <t>978-146737115-5</t>
  </si>
  <si>
    <t>Int. Conf. ICT Converg.: Innov. Towar. IoT, 5G, Smart Media Era, ICTC</t>
  </si>
  <si>
    <t>2-s2.0-84964826126</t>
  </si>
  <si>
    <t>2025-09-29 10:32:07</t>
  </si>
  <si>
    <t>Cagalaban G.; Kim S.</t>
  </si>
  <si>
    <t>Cagalaban, Giovanni (36602149300); Kim, Seoksoo (57007266900)</t>
  </si>
  <si>
    <t>36602149300; 57007266900</t>
  </si>
  <si>
    <t>Towards improving SCADA control systems security with vulnerability analysis</t>
  </si>
  <si>
    <t>137 CCIS</t>
  </si>
  <si>
    <t>10.1007/978-3-642-22706-6_5</t>
  </si>
  <si>
    <t>https://www.scopus.com/inward/record.uri?eid=2-s2.0-79961196088&amp;doi=10.1007%2f978-3-642-22706-6_5&amp;partnerID=40&amp;md5=257557ba263544dfda31c543ab1c951e</t>
  </si>
  <si>
    <t>Department of Multimedia, Hannam University, Daedeok-gu, Daejeon 306-791, Ojeong-dong, South Korea</t>
  </si>
  <si>
    <t>Cagalaban G., Department of Multimedia, Hannam University, Daedeok-gu, Daejeon 306-791, Ojeong-dong, South Korea; Kim S., Department of Multimedia, Hannam University, Daedeok-gu, Daejeon 306-791, Ojeong-dong, South Korea</t>
  </si>
  <si>
    <t>Cyber security threats and attacks are greatly affecting the security of critical infrastructure, industrial control systems, and Supervisory Control and Data Acquisition (SCADA) control systems. Despite growing awareness of security issues especially in SCADA networks, there exist little or scarce information about SCADA vulnerabilities and attacks. This research addresses the issues regarding security and performs a vulnerability analysis. Modeling of attack trees was created to simulate the vulnerability analysis and carry out assessment methodologies to test existing SCADA security design and implementation. Also, this paper proposes a security framework towards improving security for SCADA control systems. © 2011 Springer-Verlag Berlin Heidelberg.</t>
  </si>
  <si>
    <t>SCADA control system; security framework; vulnerability analysis</t>
  </si>
  <si>
    <t>Control system analysis; Critical infrastructures; Distributed computer systems; Assessment methodologies; Attack tree; Cyber security; Industrial control systems; SCADA control system; SCADA security; Security frameworks; Security issues; Supervisory control and data acquisition; Systems security; Vulnerability analysis; SCADA systems</t>
  </si>
  <si>
    <t>G. Cagalaban; Department of Multimedia, Hannam University, Daedeok-gu, Daejeon 306-791, Ojeong-dong, South Korea; email: gcagalaban@yahoo.com</t>
  </si>
  <si>
    <t>978-364222705-9</t>
  </si>
  <si>
    <t>2-s2.0-79961196088</t>
  </si>
  <si>
    <t>2025-07-21 20:42:32</t>
  </si>
  <si>
    <t>Same of the previous</t>
  </si>
  <si>
    <t>Hentea M.</t>
  </si>
  <si>
    <t>Hentea, Mariana (9638423400)</t>
  </si>
  <si>
    <t>9638423400</t>
  </si>
  <si>
    <t>Improving security for SCADA control systems</t>
  </si>
  <si>
    <t>Interdisciplinary Journal of Information, Knowledge, and Management</t>
  </si>
  <si>
    <t>10.28945/91</t>
  </si>
  <si>
    <t>https://www.scopus.com/inward/record.uri?eid=2-s2.0-79953009623&amp;doi=10.28945%2f91&amp;partnerID=40&amp;md5=3cd48814f3deccbb880f638f498fe7c4</t>
  </si>
  <si>
    <t>Excelsior College, Albany, NY, United States</t>
  </si>
  <si>
    <t>Hentea M., Excelsior College, Albany, NY, United States</t>
  </si>
  <si>
    <t>The continuous growth of cyber security threat s and attacks including the increasing sophistication of malware is impacting the security of critical infrastructure, industrial control systems, and Supervisory Control and Data Acquisition (SCADA) control systems. The reliable operation of modern infrastructures depends on computerized systems and SCADA systems. Since the emergence of Internet and World Wide Web technologies, these systems were integrated with business systems and became more exposed to cyber threats. There is a growing concern about the security and safety of the SCADA control systems. The Presidential Decision Directive 63 document est ablished the framework to protect the critical infrastruct ure an d the Presidential document of 2003, the National Strategy to Secure Cyberspace stated that securing SCADA systems is a national priority. T he critical infrastructure includes telecommunication, transportation, energy, banking, finance, water supply, emergency services, government services, agriculture, an d other fundamental systems and services that are critical to the security, economic prosperity, and social well-being of the public. The critical infrastructure is characterized by interdependencies (physical, cyber, geographic, and logical) and complexity (collections of interacting components). Therefore, information security management principles and processes need to be applied to SCADA systems without exception. Critical infrastructure disruptions can directly an d indirectly affect other infrastructures, impact large geographic regions, an d send ripples throughout the national an d global economy. For example, under normal operating conditions, the electric power in frastructure requires fuels (natural gas and petroleum), transportation, water, banking and finance, telecommunication, and SCADA systems for monitoring and control. In this paper, we provide an analysis of key developments, architecture, potential vulnerabilities, and security concerns including recommendations toward improving security for SCADA control systems. We discuss the most important issues concerning the security of SCADA systems including a perspective on enhancing security of these systems. We briefly describe the SCADA architecture, and identify t he attributes that increase the complexity of these systems including the key developments that mark the evolution of the SCADA control systems along with the growth of potential vulnerabilities and security concerns. Then, we provide recommendations toward an enhanced security for SCADA control systems. More efforts should be planned on reducing the vulnerabilities and improving the security operations of these systems. It is necessary to address not only t he individual vulnerabilit ies, but the breadth of risks that can interfere with critical operations. We describe key requirements and features needed to improve the security of t he current SCADA control systems. For example, in assessing the risk for SCADA systems, use of general methods for risk analysis including specific conditions and characteristics of a control system need to be applied. Effective risk analysis for SCADA systems requires a unified definition for mishap an d identification of potential harm to safety. As computer systems are more integrated, the distinction between security and safety is beginning to disappear. In bridging the gap between these domains, we propose a unified risk framework which combines a new definition of mishap with an expanded definition of hazard to include the security event. However, methods for risk management that are based on automated tools and intelligent techniques are more beneficial to SCADA systems because they require minimum or no human intervention in controlling the processes. We also identify a unified security/safety risk framework for control systems. Implementing security features ensures higher security, reliability, an d availability of control systems. Thus organizations need to reassess the SCADA control systems an d risk model to achieve in depth defense solutions for these systems. The increasing threats against SCADA control systems indicate that there should be more directions in the development of these systems. Therefore, achieving better quality an d more secure SCADA control systems is a high priority. Information security management principles and processes need to be applied to SCADA systems with out exception. We conclude with a thought about the future of SCADA control systems. A strategy to deal with cyber attacks against the nation's critical infrastructure requires first understanding the full nature of the threat. A depth defense and proactive solutions to improve the security of SCADA control systems ensures the future of control systems and survivability of critical infrastructure.</t>
  </si>
  <si>
    <t>Critical infrastructure; Cyber security; Industrial control system; Requirements; Risk management; SCADA control system; Security framework</t>
  </si>
  <si>
    <t>Control system analysis; Critical infrastructures; Electric power system control; Emergency services; Industrial management; Information management; Malware; Man machine systems; Natural gas transportation; Network security; Petroleum transportation; Process control; Public works; Risk analysis; Risk assessment; Risk management; Security systems; Telecommunication services; Water supply; Cyber security; Industrial control systems; Information security managements; Normal operating conditions; Presidential decision directives; Requirements; Security frameworks; Supervisory control and data acquisition; SCADA systems</t>
  </si>
  <si>
    <t>M. Hentea; Excelsior College, Albany, NY, United States; email: mhentea@excelsior.edu</t>
  </si>
  <si>
    <t>Informing Science Institute</t>
  </si>
  <si>
    <t>15551229</t>
  </si>
  <si>
    <t>Interdiscip. J. Inf. Knowl. Manage.</t>
  </si>
  <si>
    <t>2-s2.0-79953009623</t>
  </si>
  <si>
    <t>2025-07-18 08:58:52</t>
  </si>
  <si>
    <t>TID</t>
  </si>
  <si>
    <t>Asset</t>
  </si>
  <si>
    <t>Threat</t>
  </si>
  <si>
    <t>Description</t>
  </si>
  <si>
    <t>STRIDE</t>
  </si>
  <si>
    <t>Compromised</t>
  </si>
  <si>
    <t>PreC</t>
  </si>
  <si>
    <t>PreI</t>
  </si>
  <si>
    <t>PreA</t>
  </si>
  <si>
    <t>PreCondition</t>
  </si>
  <si>
    <t>PostC</t>
  </si>
  <si>
    <t>PostI</t>
  </si>
  <si>
    <t>PostA</t>
  </si>
  <si>
    <t>PostCondition</t>
  </si>
  <si>
    <t>Reference</t>
  </si>
  <si>
    <t>CapecMeta</t>
  </si>
  <si>
    <t>CapecStandard</t>
  </si>
  <si>
    <t>CapecDetailed</t>
  </si>
  <si>
    <t>RELAZIONI</t>
  </si>
  <si>
    <t>HW.PLC</t>
  </si>
  <si>
    <t>Firmware Modification</t>
  </si>
  <si>
    <t>The malicious modification or replacement of the embedded software within hardware devices.</t>
  </si>
  <si>
    <t>T,D,E</t>
  </si>
  <si>
    <t>self,target(hosts)</t>
  </si>
  <si>
    <t>p</t>
  </si>
  <si>
    <t>n</t>
  </si>
  <si>
    <t>f</t>
  </si>
  <si>
    <t>hosts, connects, uses,provides</t>
  </si>
  <si>
    <t>Malicious firmware updates</t>
  </si>
  <si>
    <t>Replace legitimate firmware with compromised versions.</t>
  </si>
  <si>
    <t>T,D</t>
  </si>
  <si>
    <t>49, 704,125,238,566</t>
  </si>
  <si>
    <t>Exploitation of Known Vulnerabilities</t>
  </si>
  <si>
    <t>Exploiting software/hardware bugs (e.g., Buffer Overflow) to gain arbitrary code execution on the controller.</t>
  </si>
  <si>
    <t>T,E</t>
  </si>
  <si>
    <t>71,77,109,610,727,820,566</t>
  </si>
  <si>
    <t>Manipulating PLC Logic</t>
  </si>
  <si>
    <t>Upload the modified program back to the PLC, leading to malicious code execution</t>
  </si>
  <si>
    <t>S,T</t>
  </si>
  <si>
    <t>82, 126,351, 427, 466, 485, 502, 592, 689, 717,92,125,300,840, 704</t>
  </si>
  <si>
    <t>Main Program Block Removal</t>
  </si>
  <si>
    <t>Replay deletes Main Object Block, blocks operational logic</t>
  </si>
  <si>
    <t>D</t>
  </si>
  <si>
    <t>351, 13, 24</t>
  </si>
  <si>
    <t>Suppression/Deactivation of alarms</t>
  </si>
  <si>
    <t>An attacker alters PLC code to prevent alarms from being triggered or sent when anomalies or faults occur. This can hide critical situations, resulting in damage to systems, people, or the environment</t>
  </si>
  <si>
    <t>D,T</t>
  </si>
  <si>
    <t>self</t>
  </si>
  <si>
    <t>Deletion/Removal of alarms</t>
  </si>
  <si>
    <t>Through instructions like JMP/LBL, code sections responsible for alarm handling are bypassed, inhibiting anomaly detection and impacting assets such as PLCs, HMIs, and field devices</t>
  </si>
  <si>
    <t>self,target(hosts), source(connects)</t>
  </si>
  <si>
    <t>Alarm Forgery</t>
  </si>
  <si>
    <t>The system generates fake alarms to mislead operators, creating a false appearance of normal operation even during faults or attacks. </t>
  </si>
  <si>
    <t>T,I,S</t>
  </si>
  <si>
    <t>Input Manipulation</t>
  </si>
  <si>
    <t xml:space="preserve">Attacker cannot modify the logic directly, but knows/control the runtime environment (sensors, firmware, I/O). </t>
  </si>
  <si>
    <t>T</t>
  </si>
  <si>
    <t>self, source(connects)</t>
  </si>
  <si>
    <t>Memory Layout Exploitation</t>
  </si>
  <si>
    <t>Attacker probes PLC memory layout via protocols (e.g., OPC), exposing variable names and critical blocks.</t>
  </si>
  <si>
    <t>Credentials from Password Stores</t>
  </si>
  <si>
    <t>Attacker reads cached or stored passwords remotely</t>
  </si>
  <si>
    <t>I</t>
  </si>
  <si>
    <t>454, 704</t>
  </si>
  <si>
    <t xml:space="preserve">Process Manipulation	</t>
  </si>
  <si>
    <t xml:space="preserve">The integrity, availability, or safety of the managed industrial process (e.g., fluid transfer, pump operation) is put at risk by unauthorized or outdated commands carrying false intentions.	</t>
  </si>
  <si>
    <t>T,E,D</t>
  </si>
  <si>
    <t xml:space="preserve">self, target(hosts), source(connects)	</t>
  </si>
  <si>
    <t>485, 571, 13, 24,77,92,119,125,174,267,300,610,634,642,718,836</t>
  </si>
  <si>
    <t>Misconfiguration</t>
  </si>
  <si>
    <t xml:space="preserve">Attacker exploits endpoint and protocol weaknesses to compromise the static IP, gain access to PLC configuration via web-server, and alter system settings.	</t>
  </si>
  <si>
    <t>E,T</t>
  </si>
  <si>
    <t>491, 655,238,718,566</t>
  </si>
  <si>
    <t xml:space="preserve">Mode Disruption	</t>
  </si>
  <si>
    <t xml:space="preserve">Forced changes to PLC operational mode (RUN/STOP/PROGRAM) may disrupt critical process control.	</t>
  </si>
  <si>
    <t>592, 13,125,145,154,174,238,813</t>
  </si>
  <si>
    <t>Physical Damage</t>
  </si>
  <si>
    <t xml:space="preserve">Unauthorized physical access enables attacker to change values or modify operational procedures, affecting industrial process	</t>
  </si>
  <si>
    <t>Loss of device control</t>
  </si>
  <si>
    <t>Attackers may overwrite passwords or clear memory, leaving authorized users unable to manage or recover operational control of the PLC.</t>
  </si>
  <si>
    <t>D,R</t>
  </si>
  <si>
    <t>Service.SCADA</t>
  </si>
  <si>
    <t>Injection of malicious software</t>
  </si>
  <si>
    <t>Disrupt, damage, or gain unauthorized access to computer systems</t>
  </si>
  <si>
    <t>T,I,D</t>
  </si>
  <si>
    <t>self, target(uses)</t>
  </si>
  <si>
    <t>49, 483, 716,60,77,125</t>
  </si>
  <si>
    <t>Command Injection</t>
  </si>
  <si>
    <t>Injecting malicious commands via insecure SCADA protocols (e.g., Modbus) due to lack of integrity validation.</t>
  </si>
  <si>
    <t>S,T,E</t>
  </si>
  <si>
    <t>self, target(uses), source(hosts)</t>
  </si>
  <si>
    <t>71, 703,24,77,92,125,174,267,300,610,630,718,840,905</t>
  </si>
  <si>
    <t xml:space="preserve">Measurement Data Deception	</t>
  </si>
  <si>
    <t xml:space="preserve">Attacker presents fake sensor/process data to HMI, tricking operators into making wrong decisions.	</t>
  </si>
  <si>
    <t>S,T,I</t>
  </si>
  <si>
    <t>689,24,92,267,634,718</t>
  </si>
  <si>
    <t>Message Spoofing</t>
  </si>
  <si>
    <t>Message spoofing is the act of falsifying or disguising the sender’s identity in a communication to make the message appear as if it comes from a trusted or legitimate source</t>
  </si>
  <si>
    <t>S</t>
  </si>
  <si>
    <t>392, 571, 13,24,77,119,174,267,300,610,634,642,718,905</t>
  </si>
  <si>
    <t xml:space="preserve">Inadequate Supervisory Controls	</t>
  </si>
  <si>
    <t xml:space="preserve">SCADA services lacking strong monitoring or configuration can fail to detect or prevent abnormal operations in industrial systems.	</t>
  </si>
  <si>
    <t>I,D</t>
  </si>
  <si>
    <t>Unauthorized Access</t>
  </si>
  <si>
    <t xml:space="preserve">The system may allow unauthorized users to access and modify operation or logic.	</t>
  </si>
  <si>
    <t>571, 716</t>
  </si>
  <si>
    <t xml:space="preserve">Remote code execution	</t>
  </si>
  <si>
    <t xml:space="preserve">Attacker achieves full control of the monitoring/command functions, can override process, block legitimate commands, or cause outages	</t>
  </si>
  <si>
    <t>716,24,60,174</t>
  </si>
  <si>
    <t>HW.IED</t>
  </si>
  <si>
    <t>Autonomous Firmware Zombie</t>
  </si>
  <si>
    <t>Covertly modify the firmware of devices to cause substantial damage, without requiring an active network connection.</t>
  </si>
  <si>
    <t>self, target(hosts)</t>
  </si>
  <si>
    <t>49, 568</t>
  </si>
  <si>
    <t xml:space="preserve">Firmware Update Risk	</t>
  </si>
  <si>
    <t xml:space="preserve">Danger of unsafe/unpatched firmware update procedures on protective relays and breakers.	</t>
  </si>
  <si>
    <t>HW.HMI</t>
  </si>
  <si>
    <t>Exploiting weak protocol security, the attacker compromises the Engineering Station or HMI to gain unauthorized access, enabling them to push malicious control logic to the PLC.</t>
  </si>
  <si>
    <t>S,I</t>
  </si>
  <si>
    <t>126, 571, 602, 716,60,300</t>
  </si>
  <si>
    <t>Controller Packet Tampering</t>
  </si>
  <si>
    <t>Attacker modifies control packets sent to actuators (e.g., conveyor pusher), blocking movement or misdirecting actions, with consequences for safety or production.</t>
  </si>
  <si>
    <t>448, 13, 717,24,267</t>
  </si>
  <si>
    <t>Credential Cache Extraction</t>
  </si>
  <si>
    <t>HMI terminal exposes stored credentials, giving unauthorized access.</t>
  </si>
  <si>
    <t>448, 454</t>
  </si>
  <si>
    <t>Fingerprinting</t>
  </si>
  <si>
    <t>Reading state/memory to inventory system for later strategy (information leakage, enumeration).</t>
  </si>
  <si>
    <t xml:space="preserve">Operator Deception	</t>
  </si>
  <si>
    <t xml:space="preserve">The visibility and control of the operator is subverted, leading to monitoring incorrect system status or issuing hazardous commands unnoticed.	</t>
  </si>
  <si>
    <t>S,I,T</t>
  </si>
  <si>
    <t>485,13,24,642</t>
  </si>
  <si>
    <t xml:space="preserve">Configuration Access	</t>
  </si>
  <si>
    <t>491, 502, 717,840, 704</t>
  </si>
  <si>
    <t>HW.Actuator</t>
  </si>
  <si>
    <t>an attacker intercepts, alters, or injects malicious packets sent from the industrial controller (e.g., PLC) to field actuators (such as valves, motors, pumps) within a control network.</t>
  </si>
  <si>
    <t>Device Restart</t>
  </si>
  <si>
    <t>PLC devices forcibly restarted/shutdown, interrupting water station operation.</t>
  </si>
  <si>
    <t xml:space="preserve">Unauthorized command	</t>
  </si>
  <si>
    <t xml:space="preserve">Sending unauthorized/fake actuation commands to process field devices, risking unsafe states.	</t>
  </si>
  <si>
    <t>466, 491</t>
  </si>
  <si>
    <t xml:space="preserve">Unauthorized Actuation	</t>
  </si>
  <si>
    <t xml:space="preserve">Attacker modifies actuator command signals sent to field devices, enabling unsafe/unintended physical action (e.g. valve flow, pump control).	</t>
  </si>
  <si>
    <t xml:space="preserve">Actuators may be physically accessed and forced to operate outside normal parameters.	</t>
  </si>
  <si>
    <t>HW.RTU</t>
  </si>
  <si>
    <t>Malware propagation</t>
  </si>
  <si>
    <t>Moving malicious files/payloads among SCADA field devices for persistent compromise.</t>
  </si>
  <si>
    <t>483, 568</t>
  </si>
  <si>
    <t>Covert channel/leakage</t>
  </si>
  <si>
    <t xml:space="preserve">Stealing process/operational data or sending C&amp;C by hiding data in Modbus register bits.	</t>
  </si>
  <si>
    <t xml:space="preserve">Modification	</t>
  </si>
  <si>
    <t xml:space="preserve">HW.SIS	</t>
  </si>
  <si>
    <t xml:space="preserve">Unsafe State Allowance	</t>
  </si>
  <si>
    <t xml:space="preserve">A poorly designed safety system may allow or fail to prevent unsafe system states, endangering health, equipment, or environment.	</t>
  </si>
  <si>
    <t>Hijacking</t>
  </si>
  <si>
    <t>Hardware components responsible for safety instrumented functions in industrial control systems are targeted for unauthorized manipulation or takeover.</t>
  </si>
  <si>
    <t>HW.Sensor</t>
  </si>
  <si>
    <t xml:space="preserve">Faulty/Compromised Sensor	</t>
  </si>
  <si>
    <t xml:space="preserve">Abnormal sensor readings/status values (OPC UA status code anomaly) indicate possible risk for process control	</t>
  </si>
  <si>
    <t xml:space="preserve">Sensors may be physically damaged, manipulated, or tampered with.	</t>
  </si>
  <si>
    <t>Network Ransomware</t>
  </si>
  <si>
    <t>The attacker enrypt the data sende by PLC</t>
  </si>
  <si>
    <t>ADC attack</t>
  </si>
  <si>
    <t>The attacker modifies the ADC reading values</t>
  </si>
  <si>
    <t>DoS attack</t>
  </si>
  <si>
    <t>The attacker can make the PLC unavailable</t>
  </si>
  <si>
    <t>634, 718</t>
  </si>
  <si>
    <t>Network.VPN</t>
  </si>
  <si>
    <t>Unauthorized access</t>
  </si>
  <si>
    <t>The attaccker gain access, exploting the CVE</t>
  </si>
  <si>
    <t>E,T,S</t>
  </si>
  <si>
    <t>self, target(connects)</t>
  </si>
  <si>
    <t>HW.Engineering WS</t>
  </si>
  <si>
    <t>File manipulation</t>
  </si>
  <si>
    <t>The attaccker gain  access to the WS and manipulates the files</t>
  </si>
  <si>
    <t>Protocol</t>
  </si>
  <si>
    <t>Precondition</t>
  </si>
  <si>
    <t>Modbus</t>
  </si>
  <si>
    <t>Command Manipulation</t>
  </si>
  <si>
    <t>An attacker intercepts the Modbus communication (e.g., between a SCADA Master and a PLC Slave) and alters the packets in transit. Since Modbus lacks cryptographic integrity checks, the attacker can change data values (e.g., sensor readings) or control commands (e.g., a pump start/stop coil state)</t>
  </si>
  <si>
    <t>source(uses),target(uses)</t>
  </si>
  <si>
    <t>Traffic Snooping</t>
  </si>
  <si>
    <t>An attacker passively monitors the network traffic.</t>
  </si>
  <si>
    <t>sourse(uses),target(uses)</t>
  </si>
  <si>
    <t>71, 218, 423, 465, 13,24,119,125,145</t>
  </si>
  <si>
    <t>Flooding</t>
  </si>
  <si>
    <t>An attacker floods a Slave device (PLC or RTU) with an excessive volume of Modbus requests.</t>
  </si>
  <si>
    <t>target(uses)</t>
  </si>
  <si>
    <t>71,82, 423, 465, 13, 722,119,125,145,267,642,718</t>
  </si>
  <si>
    <t>A threat agent injects malicious commands into the PLC to manipulate actuators, while hiding the action from the HMI operator by sending false responses.</t>
  </si>
  <si>
    <t>218, 465,24,267,718</t>
  </si>
  <si>
    <t>Node Impersonation</t>
  </si>
  <si>
    <t>Attacker simulates a legitimate node, sending valid protocol frames</t>
  </si>
  <si>
    <t>423, 13,24,77,119,125,267,642</t>
  </si>
  <si>
    <t>Passive Reconnaissance</t>
  </si>
  <si>
    <t>Passively reading Modbus messages or network traffic to profile process details and reconstruct device application</t>
  </si>
  <si>
    <t>Modbus TCP</t>
  </si>
  <si>
    <t>Any network device can freely access any level without a required authentication or validation mechanism.</t>
  </si>
  <si>
    <t>Data Tampering</t>
  </si>
  <si>
    <t>The protocol relies on underlying TCP for data trustworthiness, leaving the application layer vulnerable to modifications.</t>
  </si>
  <si>
    <t>308, 448,109</t>
  </si>
  <si>
    <t>Session Injection</t>
  </si>
  <si>
    <t>The lack of a session structure, combined with poor validation, allows attackers to inject commands without needing to know the current session state.</t>
  </si>
  <si>
    <t>308,119,642</t>
  </si>
  <si>
    <t>PCOM</t>
  </si>
  <si>
    <t xml:space="preserve">Lack of authentication/encryption	</t>
  </si>
  <si>
    <t xml:space="preserve">Allows unauthorized queries, commands, and data manipulation—including reading sensitive information.	</t>
  </si>
  <si>
    <t>T,I,E</t>
  </si>
  <si>
    <t xml:space="preserve">Command/Process Manipulation	</t>
  </si>
  <si>
    <t xml:space="preserve">Reprogramming, logic alteration, and unauthorized data access without integrity controls.	</t>
  </si>
  <si>
    <t xml:space="preserve">	Session hijacking</t>
  </si>
  <si>
    <t xml:space="preserve">Intercepting/modifying TCP and PCOM communications, session hijacking and packet tampering.	</t>
  </si>
  <si>
    <t>DNP3</t>
  </si>
  <si>
    <t xml:space="preserve">Availability Infringement	</t>
  </si>
  <si>
    <t xml:space="preserve">The protocol may be exposed to conditions that temporarily disrupt communication or service.	</t>
  </si>
  <si>
    <t>570, 722,220</t>
  </si>
  <si>
    <t xml:space="preserve">Inadequate Authentication	</t>
  </si>
  <si>
    <t xml:space="preserve">Insufficient mechanisms for confirming identity or command authorization elevate risk of misuse.	</t>
  </si>
  <si>
    <t>S,E</t>
  </si>
  <si>
    <t xml:space="preserve">Lack of Robust Handling/Validation	</t>
  </si>
  <si>
    <t xml:space="preserve">Irregular network traffic, packet loss, faulty device configuration, and unhandled command patterns can cause misoperation or failure of ICS data acquisition or control.	</t>
  </si>
  <si>
    <t xml:space="preserve">Loss of accountability	</t>
  </si>
  <si>
    <t xml:space="preserve">Lack of authentication/authorization enables untraceable changes, erasing audit trails and accountability.	</t>
  </si>
  <si>
    <t>R,E</t>
  </si>
  <si>
    <t>722, 788</t>
  </si>
  <si>
    <t>Transport Sequence Modification</t>
  </si>
  <si>
    <t>Inserting fabricated messages into sequence of fragments by manipulating sequence field, injecting data or causing processing errors</t>
  </si>
  <si>
    <t>T, D</t>
  </si>
  <si>
    <t>Baseline Response Replay</t>
  </si>
  <si>
    <t>Simulating responses to master while sending fabricated messages to outstation devices based on knowledge of normal DNP3 traffic patterns</t>
  </si>
  <si>
    <t>S, T</t>
  </si>
  <si>
    <t xml:space="preserve">Event Buffer Flooding	</t>
  </si>
  <si>
    <t xml:space="preserve">Spoofed/slaved device sends massive unsolicited event messages to master, overflowing buffer, causing loss of legitimate events.	</t>
  </si>
  <si>
    <t>S,D</t>
  </si>
  <si>
    <t>source(uses)</t>
  </si>
  <si>
    <t xml:space="preserve">Passive Network Reconnaissance	</t>
  </si>
  <si>
    <t xml:space="preserve">Attacker fingerprints network topology and device functionality by passively intercepting DNP3 traffic; aims to obtain config details.	</t>
  </si>
  <si>
    <t>Malformed frame DoS</t>
  </si>
  <si>
    <t xml:space="preserve">Vulnerabilities often stem from implementation errors due to protocol complexity. A malformed frame can crash the receiving process or drive it into an infinite loop, rendering device inoperable.	</t>
  </si>
  <si>
    <t>IEC 61850</t>
  </si>
  <si>
    <t xml:space="preserve">Unauthorized supervisory control	</t>
  </si>
  <si>
    <t xml:space="preserve">Deficient authentication enables takeover of SCADA commands, affecting control over substations.	</t>
  </si>
  <si>
    <t>Sensitive Data Exposure</t>
  </si>
  <si>
    <t xml:space="preserve">Absence of encryption threatens confidentiality of substation data and control logic.	</t>
  </si>
  <si>
    <t>722, 788, 882</t>
  </si>
  <si>
    <t xml:space="preserve">Unauthenticated configuration changes	</t>
  </si>
  <si>
    <t xml:space="preserve">Unauthorized actors can disrupt substation automation by modifying device settings or command routines.	</t>
  </si>
  <si>
    <t xml:space="preserve">Interruption of automation routines	</t>
  </si>
  <si>
    <t xml:space="preserve">Weaknesses in session handling and validation enable attackers to disrupt substation process flows.	</t>
  </si>
  <si>
    <t xml:space="preserve">Process eavesdropping	</t>
  </si>
  <si>
    <t xml:space="preserve">Unprotected protocol packets allow interception of asset information and communications.	</t>
  </si>
  <si>
    <t>722, 882</t>
  </si>
  <si>
    <t xml:space="preserve">Modification of MMS packets	</t>
  </si>
  <si>
    <t xml:space="preserve">Attacker modifies packets to alter measurements/commands; can hide/falsify values or send malicious commands.	</t>
  </si>
  <si>
    <t>882, 788</t>
  </si>
  <si>
    <t xml:space="preserve">Dropping legitimate MMS packets	</t>
  </si>
  <si>
    <t xml:space="preserve">Attacker selectively drops packets to prevent updates or hide effects from monitoring systems.	</t>
  </si>
  <si>
    <t xml:space="preserve">Injection of malicious MMS packets	</t>
  </si>
  <si>
    <t xml:space="preserve">Attacker injects unauthorized packets (e.g. power limitation commands) to force physical device into non-operational states. Operator remains unaware.	</t>
  </si>
  <si>
    <t>S,T,D</t>
  </si>
  <si>
    <t>MQTT</t>
  </si>
  <si>
    <t>MQTT Broker Information Gathering</t>
  </si>
  <si>
    <t>Attacker subscribes to all MQTT topics with wildcards to map assets, locations, or sensor states. Gains configuration info, device IDs, or even creds.</t>
  </si>
  <si>
    <t>PROFINET</t>
  </si>
  <si>
    <t xml:space="preserve">
Flow Rule Blocking</t>
  </si>
  <si>
    <t>Network latency/delays introduced by SDN controller break real-time constraints; protocol alarms, failure</t>
  </si>
  <si>
    <t>ISO TSAP</t>
  </si>
  <si>
    <t>Man in the Middle</t>
  </si>
  <si>
    <t>An attacker secretly intercepts, relays, and possibly alters the communication between two parties who believe they are communicating directly with each other.</t>
  </si>
  <si>
    <t>Replay attack</t>
  </si>
  <si>
    <t>an attacker intercepts a valid message or data transmission and fraudulently retransmits it later to gain unauthorized access or cause the receiver to perform unintended actions</t>
  </si>
  <si>
    <t xml:space="preserve">False Data Injection	</t>
  </si>
  <si>
    <t xml:space="preserve">Frames are re-crafted and injected into the cyclic PROFINET real-time protocol to systematically alter process data/commands at each control loop cycle.	</t>
  </si>
  <si>
    <t>T,I</t>
  </si>
  <si>
    <t>S7 Protocol</t>
  </si>
  <si>
    <t>The attacker modifies that data coming/directed from/to the PLC</t>
  </si>
  <si>
    <t>to add</t>
  </si>
  <si>
    <t>13, 884</t>
  </si>
  <si>
    <t xml:space="preserve">Firmware alteration	</t>
  </si>
  <si>
    <t xml:space="preserve">Remotely trigger factory reset, fully erasing device programs/settings.	</t>
  </si>
  <si>
    <t xml:space="preserve">Execution mode alteration	</t>
  </si>
  <si>
    <t xml:space="preserve">Remotely start/stop device, disrupt process via protocol commands.	</t>
  </si>
  <si>
    <t>Authentication/access control violation</t>
  </si>
  <si>
    <t xml:space="preserve">Remotely disconnect operator session during configuration.	</t>
  </si>
  <si>
    <t>S7  Protocl</t>
  </si>
  <si>
    <t>Denial of Service</t>
  </si>
  <si>
    <t>An attacker can make the communication unavailable</t>
  </si>
  <si>
    <t>OPC UA</t>
  </si>
  <si>
    <t xml:space="preserve">An attack overwhelming OPC UA servers with excessive requests or messages, leading to denial of service or degraded performance.
</t>
  </si>
  <si>
    <t>Man in The Middle</t>
  </si>
  <si>
    <t>An attacker intercepts and possibly alters communication between OPC UA clients and servers, exploiting weaknesses like insecure certificate trust lists or self-signed certificate acceptance.</t>
  </si>
  <si>
    <t xml:space="preserve"> An attacker masquerades as a legitimate OPC UA node or client to gain unauthorized access or control, facilitated by poor certificate validation or insecure configurations.</t>
  </si>
  <si>
    <t>RS485 bus</t>
  </si>
  <si>
    <t>Traffic Sniffing</t>
  </si>
  <si>
    <t>Unauthorized interception and monitoring of traffic on the RS485 bus to capture sensitive information.</t>
  </si>
  <si>
    <t>Excessive transmission of messages on the RS485 bus to cause delay or denial of service.</t>
  </si>
  <si>
    <t>Packet Injection</t>
  </si>
  <si>
    <t>Insertion of malicious or forged packets into RS485 communication to manipulate device behavior.</t>
  </si>
  <si>
    <t>Packet Modification</t>
  </si>
  <si>
    <t>Unauthorized alteration of packets in transit on the RS485 bus, affecting message integrity and control commands.</t>
  </si>
  <si>
    <t>Asset Type</t>
  </si>
  <si>
    <t>Device that measures process variables (e.g., temperature, flow).</t>
  </si>
  <si>
    <t>Dovremmo già avere i threat in catalogo</t>
  </si>
  <si>
    <t>Li sto comunque aggiungendo</t>
  </si>
  <si>
    <t>Device that acts on the physical process (e.g., valve, motor).</t>
  </si>
  <si>
    <t>HW.Robot</t>
  </si>
  <si>
    <t>Industrial robotic equipment.</t>
  </si>
  <si>
    <t>Lo mappiamo con HW.Actuator</t>
  </si>
  <si>
    <t>HW.VisionSystem</t>
  </si>
  <si>
    <t>Imaging hardware for automated inspection.</t>
  </si>
  <si>
    <t>Lo mappiamo con HW.Device di cui abbiamo threat</t>
  </si>
  <si>
    <t>Local industrial controller.</t>
  </si>
  <si>
    <t>Remote I/O controller for field environments.</t>
  </si>
  <si>
    <t>Protection/control device in energy and automation domains.</t>
  </si>
  <si>
    <t>HW.SIS</t>
  </si>
  <si>
    <t>Hardware for safety instrumented functions.</t>
  </si>
  <si>
    <t>Physical terminal for operator interaction.</t>
  </si>
  <si>
    <t>Supervisory control service for industrial systems.</t>
  </si>
  <si>
    <t>Service.MES</t>
  </si>
  <si>
    <t>Manufacturing Execution System service.</t>
  </si>
  <si>
    <t>Troppo di alto livello,  non risultano threat dalla SLR</t>
  </si>
  <si>
    <t>Service.ERP</t>
  </si>
  <si>
    <t>Enterprise resource planning service.</t>
  </si>
  <si>
    <t>Service.CRM</t>
  </si>
  <si>
    <t>Customer relationship management service.</t>
  </si>
  <si>
    <t>Service.SCM</t>
  </si>
  <si>
    <t>Supply chain management service.</t>
  </si>
  <si>
    <t>Asset già coperti:</t>
  </si>
  <si>
    <t>Party.Human</t>
  </si>
  <si>
    <t>A user or external actor interacting with the system.</t>
  </si>
  <si>
    <t>Party.LegalEntity</t>
  </si>
  <si>
    <t>A legally recognized individual or organization with rights and obligations.</t>
  </si>
  <si>
    <t>Party.Group</t>
  </si>
  <si>
    <t>A collection of related entities or individuals acting as a unified organizational unit.</t>
  </si>
  <si>
    <t>CSP</t>
  </si>
  <si>
    <t>A service provider offering communication network connectivity.</t>
  </si>
  <si>
    <t>HW.MEC</t>
  </si>
  <si>
    <t>A Multi-Access Edge Computing device that processes data near the user.</t>
  </si>
  <si>
    <t>HW.Chassis</t>
  </si>
  <si>
    <t>A physical enclosure housing hardware components like servers or network devices.</t>
  </si>
  <si>
    <t>HW.GCS</t>
  </si>
  <si>
    <t>A ground control station for managing remote devices or drones.</t>
  </si>
  <si>
    <t>HW.HDI</t>
  </si>
  <si>
    <t>Interface for human interaction with a device through input and output mechanisms.</t>
  </si>
  <si>
    <t>HW.IoT.Device</t>
  </si>
  <si>
    <t>An Internet of Things device with connectivity and automation capabilities.</t>
  </si>
  <si>
    <t>HW.IoT.Gateway</t>
  </si>
  <si>
    <t>Device that connects IoT devices to external networks, handling protocol translation, aggregation, and preliminary data processing.</t>
  </si>
  <si>
    <t>HW.Router</t>
  </si>
  <si>
    <t>A physical network device that forwards data packets between different networks, directing traffic based on IP addresses.</t>
  </si>
  <si>
    <t>HW.Device</t>
  </si>
  <si>
    <t>A general-purpose hardware device used in various technological contexts.</t>
  </si>
  <si>
    <t>HW.Server</t>
  </si>
  <si>
    <t>A hardware system providing computing and storage services.</t>
  </si>
  <si>
    <t>HW.UE</t>
  </si>
  <si>
    <t>A user equipment device, such as a smartphone.</t>
  </si>
  <si>
    <t>HW.Microcontroller</t>
  </si>
  <si>
    <t>A small integrated circuit used to control embedded systems.</t>
  </si>
  <si>
    <t>HW.SOC</t>
  </si>
  <si>
    <t>A System-on-Chip integrating multiple hardware components into a single circuit.</t>
  </si>
  <si>
    <t>HW.Raspberry</t>
  </si>
  <si>
    <t>A low-cost microcomputer used for development and automation.</t>
  </si>
  <si>
    <t>HW.PC</t>
  </si>
  <si>
    <t>A personal computer used for local or network-based tasks.</t>
  </si>
  <si>
    <t>HW.PC.LoginNode</t>
  </si>
  <si>
    <t>A server node handling user login management in a computing cluster.</t>
  </si>
  <si>
    <t>HW.PC.DataStorageDisk</t>
  </si>
  <si>
    <t>A data storage disk used in servers or networked systems.</t>
  </si>
  <si>
    <t>HW.PC.SchedulerNode</t>
  </si>
  <si>
    <t>A scheduler node managing workload distribution in a cluster.</t>
  </si>
  <si>
    <t>HW.PC.ComputeNode</t>
  </si>
  <si>
    <t>A compute node used for processing in a cluster environment.</t>
  </si>
  <si>
    <t>Network</t>
  </si>
  <si>
    <t>A generic Network.</t>
  </si>
  <si>
    <t>Network.WAN</t>
  </si>
  <si>
    <t>A wide-area network connecting multiple locations or regions.</t>
  </si>
  <si>
    <t>Network.LAN</t>
  </si>
  <si>
    <t>A local area network that enables communication between devices within a limited geographic area, such as a home or data center.</t>
  </si>
  <si>
    <t>Network.Wired</t>
  </si>
  <si>
    <t>A wired local area network using physical connections.</t>
  </si>
  <si>
    <t>Network.WiFi</t>
  </si>
  <si>
    <t>A wireless local area network (WiFi) for device connectivity.</t>
  </si>
  <si>
    <t>Network.Virtual</t>
  </si>
  <si>
    <t>A virtual network created by the container runtime to enable isolated communication between containers and with the host system.</t>
  </si>
  <si>
    <t>Network.PAN</t>
  </si>
  <si>
    <t>A personal area network for short-range communication, such as wearables.</t>
  </si>
  <si>
    <t>Network.RAN</t>
  </si>
  <si>
    <t>Radio network infrastructure enabling wireless communication between user devices and core networks.</t>
  </si>
  <si>
    <t>Network.Core</t>
  </si>
  <si>
    <t>The core infrastructure of a 5G network for managing data traffic.</t>
  </si>
  <si>
    <t>SystemLayer.OS</t>
  </si>
  <si>
    <t>An operating system managing hardware and software resources.</t>
  </si>
  <si>
    <t>SystemLayer.Firmware</t>
  </si>
  <si>
    <t>A firmware service that controls low-level hardware functions.</t>
  </si>
  <si>
    <t>SystemLayer.HyperVisor</t>
  </si>
  <si>
    <t>Software or firmware layer that creates and manages virtual machines by abstracting and allocating physical hardware resources.</t>
  </si>
  <si>
    <t>SystemLayer.ContainerRuntime</t>
  </si>
  <si>
    <t>Software component that manages the lifecycle and execution of containers on a host system.</t>
  </si>
  <si>
    <t>Virtual.VM</t>
  </si>
  <si>
    <t>A virtual machine service used in different infrastructure.</t>
  </si>
  <si>
    <t>Virtual.Container</t>
  </si>
  <si>
    <t>Application service running in an isolated, portable, and scalable container environment.</t>
  </si>
  <si>
    <t>Service</t>
  </si>
  <si>
    <t>A generic Service.</t>
  </si>
  <si>
    <t>Service.5G.RAN</t>
  </si>
  <si>
    <t>Logical service managing radio access functionalities and control over the RAN infrastructure.</t>
  </si>
  <si>
    <t>Service.5G.AMF</t>
  </si>
  <si>
    <t>A 5G service managing user registration and mobility (AMF).</t>
  </si>
  <si>
    <t>Service.5G.AUSF</t>
  </si>
  <si>
    <t>A 5G service handling authentication and security (AUSF).</t>
  </si>
  <si>
    <t>Service.5G.NEF</t>
  </si>
  <si>
    <t>A 5G service exposing network functions to applications (NEF).</t>
  </si>
  <si>
    <t>Service.5G.NRF</t>
  </si>
  <si>
    <t>A 5G service acting as the network function repository (NRF).</t>
  </si>
  <si>
    <t>Service.5G.NSSF</t>
  </si>
  <si>
    <t>A 5G service managing network slicing (NSSF).</t>
  </si>
  <si>
    <t>Service.5G.NWDAF</t>
  </si>
  <si>
    <t>A 5G service providing network analytics (NWDAF).</t>
  </si>
  <si>
    <t>Service.5G.PCF</t>
  </si>
  <si>
    <t>A 5G policy control service (PCF).</t>
  </si>
  <si>
    <t>Service.5G.UDM</t>
  </si>
  <si>
    <t>A 5G service handling user data management (UDM).</t>
  </si>
  <si>
    <t>Service.5G.UPF</t>
  </si>
  <si>
    <t>A 5G service managing packet forwarding (UPF).</t>
  </si>
  <si>
    <t>Service.App</t>
  </si>
  <si>
    <t>A general-purpose application service that consumes data, interfaces with other services, or presents information to end users.</t>
  </si>
  <si>
    <t>Service.Browser</t>
  </si>
  <si>
    <t>A web browser service enabling internet navigation.</t>
  </si>
  <si>
    <t>Service.SSH</t>
  </si>
  <si>
    <t>A service that enables secure remote access and command execution over the SSH protocol.</t>
  </si>
  <si>
    <t>Service.DB</t>
  </si>
  <si>
    <t>A database service for storing and managing structured data.</t>
  </si>
  <si>
    <t>Service.Web</t>
  </si>
  <si>
    <t>A web service hosting websites and applications.</t>
  </si>
  <si>
    <t>Service.API</t>
  </si>
  <si>
    <t>Interface that exposes functionalities of a service to other components or systems via defined protocols.</t>
  </si>
  <si>
    <t>Service.NoSQLDB</t>
  </si>
  <si>
    <t>A NoSQL database service for handling non-relational data.</t>
  </si>
  <si>
    <t>Service.IDProvider</t>
  </si>
  <si>
    <t>Provides authentication and identity management services, enabling user verification and access control.</t>
  </si>
  <si>
    <t>Service.MQTTBroker</t>
  </si>
  <si>
    <t>An MQTT broker service for IoT device communication.</t>
  </si>
  <si>
    <t>Service.RPCBind</t>
  </si>
  <si>
    <t>A service that maps RPC program numbers to network addresses, enabling RPC clients to locate available services on a host.</t>
  </si>
  <si>
    <t>Service.JobScheduler</t>
  </si>
  <si>
    <t>A job scheduling service for managing automated tasks.</t>
  </si>
  <si>
    <t>Service.MQTTClient</t>
  </si>
  <si>
    <t>An MQTT client service for IoT device communication.</t>
  </si>
  <si>
    <t>PROFIBUS</t>
  </si>
  <si>
    <t>A fieldbus protocol widely used in industrial automation for connecting PLCs, sensors, actuators, and distributed control systems. It provides fast and reliable communication with deterministic timing, making it essential for critical manufacturing processes.</t>
  </si>
  <si>
    <t>DeviceNet</t>
  </si>
  <si>
    <t>Based on CAN bus technology, this protocol is designed for connecting field devices such as sensors and actuators. It enables plug-and-play communication between industrial devices and is particularly popular in automotive and manufacturing applications.</t>
  </si>
  <si>
    <t>CANopen</t>
  </si>
  <si>
    <t>A higher-level protocol built on CAN (Controller Area Network), optimized for industrial automation, robotics, and motion control. It offers flexibility in managing complex networks with numerous nodes and provides real-time communication capabilities.</t>
  </si>
  <si>
    <t>Modbus RTU</t>
  </si>
  <si>
    <t>One of the oldest and most widely used industrial communication protocols, utilizing serial communication (typically RS485). Known for its simplicity, low cost, and extensive device support, making it ideal for small to medium-scale industrial systems.</t>
  </si>
  <si>
    <t>An Ethernet-based evolution of PROFIBUS that enables real-time communication and direct integration with corporate IT networks. It provides high-speed connectivity for factory automation and process control applications.</t>
  </si>
  <si>
    <t>EtherNet/IP</t>
  </si>
  <si>
    <t>An industrial Ethernet protocol designed for real-time control and monitoring in manufacturing environments. Built on standard Ethernet with the Common Industrial Protocol (CIP), it offers high-speed data transmission and seamless integration with existing network infrastructure.</t>
  </si>
  <si>
    <t>non lo consideriamo per threat modelling (basso livello)</t>
  </si>
  <si>
    <t>The TCP/IP version of Modbus that operates over Ethernet networks, providing higher speed and better scalability than Modbus RTU. It's ideal for large-scale networks requiring fast communication between multiple devices.</t>
  </si>
  <si>
    <t>Distributed Network Protocol primarily used in the energy sector and critical infrastructure for telemetry and remote supervisory control. It's robust and performs well even under degraded line conditions.</t>
  </si>
  <si>
    <t>An international standard for electrical substation automation, designed for smart grid applications. It facilitates interoperability and integrated management of complex electrical systems.</t>
  </si>
  <si>
    <t>An open, platform-independent standard that enables secure communication and advanced data modeling in industrial environments. It's particularly suited for Industry 4.0 applications, supporting both cloud and Industrial IoT contexts with comprehensive security features.</t>
  </si>
  <si>
    <t>A lightweight protocol optimized for message transmission in IoT and industrial environments. It's ideal for intermittent connections and low-bandwidth networks, making it perfect for edge computing and remote monitoring applications.</t>
  </si>
  <si>
    <t>già presenti</t>
  </si>
  <si>
    <t>PCOM is a proprietary communication protocol developed by Unitronics for their PLCs. It enables connection with Unitronics controllers via serial or TCP/IP (port 20256), using either ASCII or Binary message formats. PCOM supports a wide set of function codes (opcodes) for reading, writing, and managing device data, and is essential for programming, remote access, and SCADA integration in industrial control systems</t>
  </si>
  <si>
    <t>The S7 Protocol is a proprietary Siemens protocol used for communication between S7 PLCs and engineering systems, enabling programming, data exchange, and diagnostic operations over Ethernet and TCP/IP</t>
  </si>
  <si>
    <t>Protocolli già coperti</t>
  </si>
  <si>
    <t>AKA</t>
  </si>
  <si>
    <t>GTP</t>
  </si>
  <si>
    <t>NAS</t>
  </si>
  <si>
    <t>RRC</t>
  </si>
  <si>
    <t>SIP</t>
  </si>
  <si>
    <t>Diameter</t>
  </si>
  <si>
    <t>SS7</t>
  </si>
  <si>
    <t>DHCP</t>
  </si>
  <si>
    <t>HTTP2</t>
  </si>
  <si>
    <t>Mavlink</t>
  </si>
  <si>
    <t>QUIC</t>
  </si>
  <si>
    <t>HTTP</t>
  </si>
  <si>
    <t>49, 427, 592, 862,109,727,820,704,125,238,566</t>
  </si>
  <si>
    <t>427, 466, 13, 689, 703, 717, 870,836,716,261</t>
  </si>
  <si>
    <t>491, 549, 571, 703,24,466,491</t>
  </si>
  <si>
    <t>71,82,218, 13, 722,24,77,125,465,24,267,718</t>
  </si>
  <si>
    <t>71, 218, 423, 448, 13,24,119,642,844</t>
  </si>
  <si>
    <t>184, 441</t>
  </si>
  <si>
    <t>185, 186, 663</t>
  </si>
  <si>
    <t>696</t>
  </si>
  <si>
    <t>175, 251</t>
  </si>
  <si>
    <t>184, 440</t>
  </si>
  <si>
    <t>401, 534</t>
  </si>
  <si>
    <t>441, 212</t>
  </si>
  <si>
    <t>116, 189</t>
  </si>
  <si>
    <t>1, 17, 180</t>
  </si>
  <si>
    <t>441, 442</t>
  </si>
  <si>
    <t>151, 94</t>
  </si>
  <si>
    <t>1, 180</t>
  </si>
  <si>
    <t>442, 452</t>
  </si>
  <si>
    <t>312, 313</t>
  </si>
  <si>
    <t>source(uses) = client compromised, target(uses)= server compromised</t>
  </si>
  <si>
    <t>94,151</t>
  </si>
  <si>
    <t>272, 220</t>
  </si>
  <si>
    <t>157, 118</t>
  </si>
  <si>
    <t>159, 117, 169</t>
  </si>
  <si>
    <t>584, 585</t>
  </si>
  <si>
    <t>115, 151</t>
  </si>
  <si>
    <t>242, 151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</si>
</sst>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1"/>
      <color theme="0"/>
      <name val="Calibri"/>
      <family val="2"/>
    </font>
    <font>
      <b/>
      <sz val="14"/>
      <color theme="1"/>
      <name val="Calibri"/>
      <family val="2"/>
    </font>
    <font>
      <sz val="11"/>
      <color rgb="FF000000"/>
      <name val="Calibri"/>
      <family val="2"/>
    </font>
    <font>
      <b/>
      <sz val="11"/>
      <color theme="1"/>
      <name val="Calibri"/>
      <family val="2"/>
      <scheme val="minor"/>
    </font>
    <font>
      <sz val="12"/>
      <color theme="1"/>
      <name val="FkGroteskNeue"/>
      <charset val="1"/>
    </font>
    <font>
      <b/>
      <sz val="11"/>
      <name val="Calibri"/>
      <family val="2"/>
    </font>
    <font>
      <sz val="9.6"/>
      <color theme="1"/>
      <name val="FkGroteskNeue"/>
      <charset val="1"/>
    </font>
    <font>
      <sz val="11"/>
      <color theme="1"/>
      <name val="FkGroteskNeue"/>
      <charset val="1"/>
    </font>
    <font>
      <sz val="11"/>
      <name val="Calibri"/>
      <family val="2"/>
    </font>
    <font>
      <sz val="10"/>
      <color theme="1"/>
      <name val="Calibri"/>
      <family val="2"/>
      <scheme val="major"/>
    </font>
    <font>
      <sz val="10"/>
      <color theme="1"/>
      <name val="Calibri"/>
      <family val="2"/>
      <scheme val="major"/>
    </font>
    <font>
      <sz val="11"/>
      <color rgb="FF000000"/>
      <name val="Calibri"/>
      <family val="2"/>
    </font>
    <font>
      <i/>
      <sz val="10"/>
      <color rgb="FF000000"/>
      <name val=".AppleSystemUIFont"/>
    </font>
    <font>
      <sz val="11"/>
      <name val="Calibri"/>
      <family val="2"/>
      <scheme val="minor"/>
    </font>
    <font>
      <sz val="11"/>
      <color rgb="FF000000"/>
      <name val="Calibri"/>
      <family val="2"/>
      <scheme val="minor"/>
    </font>
    <font>
      <sz val="11"/>
      <color rgb="FF000000"/>
      <name val="Calibri"/>
      <family val="2"/>
      <scheme val="minor"/>
    </font>
  </fonts>
  <fills count="12">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rgb="FFFF0000"/>
        <bgColor rgb="FFFF0000"/>
      </patternFill>
    </fill>
    <fill>
      <patternFill patternType="solid">
        <fgColor rgb="FF92D050"/>
        <bgColor indexed="64"/>
      </patternFill>
    </fill>
    <fill>
      <patternFill patternType="solid">
        <fgColor rgb="FFFF0000"/>
        <bgColor indexed="64"/>
      </patternFill>
    </fill>
    <fill>
      <patternFill patternType="solid">
        <fgColor rgb="FFFCE4D6"/>
        <bgColor rgb="FFFCE4D6"/>
      </patternFill>
    </fill>
    <fill>
      <patternFill patternType="solid">
        <fgColor theme="0"/>
        <bgColor indexed="64"/>
      </patternFill>
    </fill>
    <fill>
      <patternFill patternType="solid">
        <fgColor rgb="FFFFFF00"/>
        <bgColor indexed="64"/>
      </patternFill>
    </fill>
    <fill>
      <patternFill patternType="solid">
        <fgColor rgb="FFFF0000"/>
        <bgColor rgb="FFDBE5F1"/>
      </patternFill>
    </fill>
    <fill>
      <patternFill patternType="solid">
        <fgColor rgb="FFFF0000"/>
        <bgColor theme="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95B3D7"/>
      </top>
      <bottom style="thin">
        <color rgb="FF95B3D7"/>
      </bottom>
      <diagonal/>
    </border>
    <border>
      <left/>
      <right/>
      <top style="thin">
        <color rgb="FFF4B084"/>
      </top>
      <bottom style="thin">
        <color rgb="FFF4B08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style="thin">
        <color rgb="FF95B3D7"/>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22">
    <xf numFmtId="0" fontId="0" fillId="0" borderId="0" xfId="0"/>
    <xf numFmtId="0" fontId="3" fillId="0" borderId="0" xfId="0" applyFont="1"/>
    <xf numFmtId="0" fontId="4" fillId="0" borderId="1" xfId="0" applyFont="1" applyBorder="1" applyAlignment="1">
      <alignment horizontal="center" vertical="top"/>
    </xf>
    <xf numFmtId="49" fontId="6" fillId="2" borderId="3" xfId="0" applyNumberFormat="1" applyFont="1" applyFill="1" applyBorder="1"/>
    <xf numFmtId="49" fontId="5" fillId="3" borderId="3" xfId="0" applyNumberFormat="1" applyFont="1" applyFill="1" applyBorder="1" applyAlignment="1">
      <alignment vertical="center" wrapText="1"/>
    </xf>
    <xf numFmtId="0" fontId="9" fillId="0" borderId="0" xfId="0" applyFont="1"/>
    <xf numFmtId="0" fontId="10" fillId="0" borderId="0" xfId="0" applyFont="1" applyAlignment="1">
      <alignment wrapText="1"/>
    </xf>
    <xf numFmtId="0" fontId="0" fillId="0" borderId="2" xfId="0" applyBorder="1"/>
    <xf numFmtId="0" fontId="11" fillId="0" borderId="0" xfId="0" applyFont="1" applyAlignment="1">
      <alignment horizontal="center" vertical="top"/>
    </xf>
    <xf numFmtId="0" fontId="0" fillId="0" borderId="0" xfId="0" applyAlignment="1">
      <alignment wrapText="1"/>
    </xf>
    <xf numFmtId="0" fontId="4" fillId="5" borderId="1" xfId="0" applyFont="1" applyFill="1" applyBorder="1" applyAlignment="1">
      <alignment horizontal="center" vertical="top"/>
    </xf>
    <xf numFmtId="0" fontId="11" fillId="5" borderId="0" xfId="0" applyFont="1" applyFill="1" applyAlignment="1">
      <alignment horizontal="center" vertical="top"/>
    </xf>
    <xf numFmtId="0" fontId="3" fillId="5" borderId="0" xfId="0" applyFont="1" applyFill="1"/>
    <xf numFmtId="0" fontId="0" fillId="5" borderId="0" xfId="0" applyFill="1"/>
    <xf numFmtId="0" fontId="4" fillId="6" borderId="1" xfId="0" applyFont="1" applyFill="1" applyBorder="1" applyAlignment="1">
      <alignment horizontal="center" vertical="top"/>
    </xf>
    <xf numFmtId="0" fontId="11" fillId="6" borderId="0" xfId="0" applyFont="1" applyFill="1" applyAlignment="1">
      <alignment horizontal="center" vertical="top"/>
    </xf>
    <xf numFmtId="0" fontId="3" fillId="6" borderId="0" xfId="0" applyFont="1" applyFill="1"/>
    <xf numFmtId="0" fontId="0" fillId="6" borderId="0" xfId="0" applyFill="1"/>
    <xf numFmtId="0" fontId="3" fillId="5" borderId="0" xfId="0" applyFont="1" applyFill="1" applyAlignment="1">
      <alignment wrapText="1"/>
    </xf>
    <xf numFmtId="0" fontId="7" fillId="4" borderId="1" xfId="0" applyFont="1" applyFill="1" applyBorder="1" applyAlignment="1">
      <alignment horizontal="center" wrapText="1"/>
    </xf>
    <xf numFmtId="0" fontId="8" fillId="0" borderId="1" xfId="0" applyFont="1" applyBorder="1" applyAlignment="1">
      <alignment horizontal="center" wrapText="1"/>
    </xf>
    <xf numFmtId="0" fontId="5" fillId="0" borderId="1" xfId="0" applyFont="1" applyBorder="1" applyAlignment="1">
      <alignment horizontal="center" wrapText="1"/>
    </xf>
    <xf numFmtId="0" fontId="14" fillId="5" borderId="0" xfId="0" applyFont="1" applyFill="1" applyAlignment="1">
      <alignment horizontal="center" vertical="top" wrapText="1"/>
    </xf>
    <xf numFmtId="0" fontId="3" fillId="5" borderId="2" xfId="0" applyFont="1" applyFill="1" applyBorder="1"/>
    <xf numFmtId="0" fontId="0" fillId="5" borderId="2" xfId="0" applyFill="1" applyBorder="1"/>
    <xf numFmtId="0" fontId="14" fillId="0" borderId="0" xfId="0" applyFont="1" applyAlignment="1">
      <alignment horizontal="center" vertical="top"/>
    </xf>
    <xf numFmtId="0" fontId="14" fillId="5" borderId="0" xfId="0" applyFont="1" applyFill="1" applyAlignment="1">
      <alignment horizontal="center" vertical="top"/>
    </xf>
    <xf numFmtId="0" fontId="14" fillId="6" borderId="0" xfId="0" applyFont="1" applyFill="1" applyAlignment="1">
      <alignment horizontal="center" vertical="top"/>
    </xf>
    <xf numFmtId="0" fontId="0" fillId="6" borderId="0" xfId="0" applyFill="1" applyAlignment="1">
      <alignment wrapText="1"/>
    </xf>
    <xf numFmtId="0" fontId="0" fillId="5" borderId="0" xfId="0" applyFill="1" applyAlignment="1">
      <alignment wrapText="1"/>
    </xf>
    <xf numFmtId="0" fontId="5" fillId="5" borderId="2" xfId="0" applyFont="1" applyFill="1" applyBorder="1"/>
    <xf numFmtId="0" fontId="10" fillId="5" borderId="0" xfId="0" applyFont="1" applyFill="1" applyAlignment="1">
      <alignment wrapText="1"/>
    </xf>
    <xf numFmtId="0" fontId="11" fillId="6" borderId="0" xfId="0" applyFont="1" applyFill="1" applyAlignment="1">
      <alignment horizontal="center" vertical="top" wrapText="1"/>
    </xf>
    <xf numFmtId="0" fontId="17" fillId="7" borderId="4" xfId="0" applyFont="1" applyFill="1" applyBorder="1"/>
    <xf numFmtId="0" fontId="17" fillId="0" borderId="4" xfId="0" applyFont="1" applyBorder="1"/>
    <xf numFmtId="0" fontId="17" fillId="7" borderId="4" xfId="0" applyFont="1" applyFill="1" applyBorder="1" applyAlignment="1">
      <alignment wrapText="1"/>
    </xf>
    <xf numFmtId="0" fontId="17" fillId="0" borderId="4" xfId="0" applyFont="1" applyBorder="1" applyAlignment="1">
      <alignment wrapText="1"/>
    </xf>
    <xf numFmtId="0" fontId="17" fillId="8" borderId="4" xfId="0" applyFont="1" applyFill="1" applyBorder="1"/>
    <xf numFmtId="0" fontId="17" fillId="0" borderId="2" xfId="0" applyFont="1" applyBorder="1"/>
    <xf numFmtId="0" fontId="17" fillId="0" borderId="2" xfId="0" applyFont="1" applyBorder="1" applyAlignment="1">
      <alignment wrapText="1"/>
    </xf>
    <xf numFmtId="0" fontId="18" fillId="0" borderId="2" xfId="0" applyFont="1" applyBorder="1"/>
    <xf numFmtId="0" fontId="0" fillId="9" borderId="0" xfId="0" applyFill="1"/>
    <xf numFmtId="0" fontId="10" fillId="9" borderId="0" xfId="0" applyFont="1" applyFill="1" applyAlignment="1">
      <alignment wrapText="1"/>
    </xf>
    <xf numFmtId="0" fontId="0" fillId="9" borderId="0" xfId="0" applyFill="1" applyAlignment="1">
      <alignment wrapText="1"/>
    </xf>
    <xf numFmtId="0" fontId="3" fillId="9" borderId="0" xfId="0" applyFont="1" applyFill="1" applyAlignment="1">
      <alignment wrapText="1"/>
    </xf>
    <xf numFmtId="0" fontId="3" fillId="6" borderId="0" xfId="0" applyFont="1" applyFill="1" applyAlignment="1">
      <alignment wrapText="1"/>
    </xf>
    <xf numFmtId="0" fontId="0" fillId="0" borderId="2" xfId="0" applyBorder="1" applyAlignment="1">
      <alignment wrapText="1"/>
    </xf>
    <xf numFmtId="0" fontId="5" fillId="0" borderId="1" xfId="0" applyFont="1" applyBorder="1" applyAlignment="1">
      <alignment wrapText="1"/>
    </xf>
    <xf numFmtId="0" fontId="0" fillId="0" borderId="1" xfId="0" applyBorder="1" applyAlignment="1">
      <alignment wrapText="1"/>
    </xf>
    <xf numFmtId="0" fontId="8" fillId="0" borderId="1" xfId="0" applyFont="1" applyBorder="1" applyAlignment="1">
      <alignment wrapText="1"/>
    </xf>
    <xf numFmtId="0" fontId="12" fillId="0" borderId="1" xfId="0" applyFont="1" applyBorder="1" applyAlignment="1">
      <alignment wrapText="1"/>
    </xf>
    <xf numFmtId="0" fontId="8" fillId="0" borderId="1" xfId="0" applyFont="1" applyBorder="1"/>
    <xf numFmtId="0" fontId="0" fillId="0" borderId="1" xfId="0" applyBorder="1"/>
    <xf numFmtId="0" fontId="6" fillId="2" borderId="1" xfId="0" applyFont="1" applyFill="1" applyBorder="1"/>
    <xf numFmtId="49" fontId="6" fillId="2" borderId="1" xfId="0" applyNumberFormat="1" applyFont="1" applyFill="1" applyBorder="1"/>
    <xf numFmtId="0" fontId="15" fillId="0" borderId="1" xfId="0" applyFont="1" applyBorder="1" applyAlignment="1">
      <alignment wrapText="1"/>
    </xf>
    <xf numFmtId="0" fontId="15" fillId="0" borderId="1" xfId="0" applyFont="1" applyBorder="1"/>
    <xf numFmtId="0" fontId="15" fillId="3" borderId="1" xfId="0" applyFont="1" applyFill="1" applyBorder="1" applyAlignment="1">
      <alignment vertical="center" wrapText="1"/>
    </xf>
    <xf numFmtId="0" fontId="5" fillId="3" borderId="1" xfId="0" applyFont="1" applyFill="1" applyBorder="1" applyAlignment="1">
      <alignment vertical="center" wrapText="1"/>
    </xf>
    <xf numFmtId="0" fontId="16" fillId="0" borderId="1" xfId="0" applyFont="1" applyBorder="1" applyAlignment="1">
      <alignment wrapText="1"/>
    </xf>
    <xf numFmtId="0" fontId="16" fillId="0" borderId="1" xfId="0" applyFont="1" applyBorder="1"/>
    <xf numFmtId="0" fontId="16" fillId="3" borderId="1" xfId="0" applyFont="1" applyFill="1" applyBorder="1" applyAlignment="1">
      <alignment vertical="center" wrapText="1"/>
    </xf>
    <xf numFmtId="0" fontId="3" fillId="0" borderId="1" xfId="0" applyFont="1" applyBorder="1"/>
    <xf numFmtId="0" fontId="13" fillId="0" borderId="1" xfId="0" applyFont="1" applyBorder="1"/>
    <xf numFmtId="0" fontId="19" fillId="5" borderId="0" xfId="0" applyFont="1" applyFill="1" applyAlignment="1">
      <alignment horizontal="center" wrapText="1"/>
    </xf>
    <xf numFmtId="0" fontId="2" fillId="5" borderId="0" xfId="0" applyFont="1" applyFill="1"/>
    <xf numFmtId="0" fontId="4" fillId="3" borderId="5" xfId="0" applyFont="1" applyFill="1" applyBorder="1" applyAlignment="1">
      <alignment vertical="center" wrapText="1"/>
    </xf>
    <xf numFmtId="0" fontId="0" fillId="0" borderId="6" xfId="0" applyBorder="1"/>
    <xf numFmtId="0" fontId="3" fillId="0" borderId="6" xfId="0" applyFont="1" applyBorder="1"/>
    <xf numFmtId="0" fontId="6" fillId="2" borderId="7" xfId="0" applyFont="1" applyFill="1" applyBorder="1"/>
    <xf numFmtId="0" fontId="0" fillId="0" borderId="8" xfId="0" applyBorder="1"/>
    <xf numFmtId="0" fontId="15" fillId="0" borderId="8" xfId="0" applyFont="1" applyBorder="1" applyAlignment="1">
      <alignment wrapText="1"/>
    </xf>
    <xf numFmtId="0" fontId="15" fillId="0" borderId="8" xfId="0" applyFont="1" applyBorder="1"/>
    <xf numFmtId="0" fontId="15" fillId="3" borderId="8" xfId="0" applyFont="1" applyFill="1" applyBorder="1" applyAlignment="1">
      <alignment vertical="center" wrapText="1"/>
    </xf>
    <xf numFmtId="0" fontId="15" fillId="0" borderId="9" xfId="0" applyFont="1" applyBorder="1" applyAlignment="1">
      <alignment wrapText="1"/>
    </xf>
    <xf numFmtId="0" fontId="15" fillId="0" borderId="6" xfId="0" applyFont="1" applyBorder="1" applyAlignment="1">
      <alignment wrapText="1"/>
    </xf>
    <xf numFmtId="0" fontId="16" fillId="0" borderId="6" xfId="0" applyFont="1" applyBorder="1" applyAlignment="1">
      <alignment wrapText="1"/>
    </xf>
    <xf numFmtId="0" fontId="13" fillId="0" borderId="6" xfId="0" applyFont="1" applyBorder="1"/>
    <xf numFmtId="0" fontId="15" fillId="3" borderId="10" xfId="0" applyFont="1" applyFill="1" applyBorder="1" applyAlignment="1">
      <alignment vertical="center" wrapText="1"/>
    </xf>
    <xf numFmtId="0" fontId="15" fillId="3" borderId="5" xfId="0" applyFont="1" applyFill="1" applyBorder="1" applyAlignment="1">
      <alignment vertical="center" wrapText="1"/>
    </xf>
    <xf numFmtId="0" fontId="16" fillId="3" borderId="5" xfId="0" applyFont="1" applyFill="1" applyBorder="1" applyAlignment="1">
      <alignment vertical="center" wrapText="1"/>
    </xf>
    <xf numFmtId="0" fontId="2" fillId="0" borderId="0" xfId="0" applyFont="1" applyAlignment="1">
      <alignment wrapText="1"/>
    </xf>
    <xf numFmtId="0" fontId="2" fillId="0" borderId="1" xfId="0" applyFont="1" applyBorder="1"/>
    <xf numFmtId="0" fontId="2" fillId="0" borderId="1" xfId="0" applyFont="1" applyBorder="1" applyAlignment="1">
      <alignment wrapText="1"/>
    </xf>
    <xf numFmtId="3" fontId="2" fillId="0" borderId="1" xfId="0" applyNumberFormat="1" applyFont="1" applyBorder="1" applyAlignment="1">
      <alignment wrapText="1"/>
    </xf>
    <xf numFmtId="0" fontId="20" fillId="5" borderId="0" xfId="0" applyFont="1" applyFill="1" applyAlignment="1">
      <alignment wrapText="1"/>
    </xf>
    <xf numFmtId="0" fontId="21" fillId="5" borderId="0" xfId="0" applyFont="1" applyFill="1" applyAlignment="1">
      <alignment wrapText="1"/>
    </xf>
    <xf numFmtId="0" fontId="20" fillId="0" borderId="0" xfId="0" applyFont="1" applyAlignment="1">
      <alignment wrapText="1"/>
    </xf>
    <xf numFmtId="0" fontId="4" fillId="10" borderId="5" xfId="0" applyFont="1" applyFill="1" applyBorder="1" applyAlignment="1">
      <alignment vertical="center" wrapText="1"/>
    </xf>
    <xf numFmtId="0" fontId="15" fillId="6" borderId="6" xfId="0" applyFont="1" applyFill="1" applyBorder="1" applyAlignment="1">
      <alignment wrapText="1"/>
    </xf>
    <xf numFmtId="0" fontId="15" fillId="6" borderId="1" xfId="0" applyFont="1" applyFill="1" applyBorder="1" applyAlignment="1">
      <alignment wrapText="1"/>
    </xf>
    <xf numFmtId="0" fontId="15" fillId="6" borderId="1" xfId="0" applyFont="1" applyFill="1" applyBorder="1"/>
    <xf numFmtId="0" fontId="15" fillId="10" borderId="1" xfId="0" applyFont="1" applyFill="1" applyBorder="1" applyAlignment="1">
      <alignment vertical="center" wrapText="1"/>
    </xf>
    <xf numFmtId="0" fontId="15" fillId="10" borderId="5" xfId="0" applyFont="1" applyFill="1" applyBorder="1" applyAlignment="1">
      <alignment vertical="center" wrapText="1"/>
    </xf>
    <xf numFmtId="0" fontId="0" fillId="6" borderId="6" xfId="0" applyFill="1" applyBorder="1"/>
    <xf numFmtId="0" fontId="0" fillId="6" borderId="1" xfId="0" applyFill="1" applyBorder="1"/>
    <xf numFmtId="0" fontId="5" fillId="10" borderId="1" xfId="0" applyFont="1" applyFill="1" applyBorder="1" applyAlignment="1">
      <alignment vertical="center" wrapText="1"/>
    </xf>
    <xf numFmtId="0" fontId="2" fillId="6" borderId="1" xfId="0" applyFont="1" applyFill="1" applyBorder="1"/>
    <xf numFmtId="0" fontId="1" fillId="0" borderId="1" xfId="0" applyFont="1" applyBorder="1" applyAlignment="1">
      <alignment wrapText="1"/>
    </xf>
    <xf numFmtId="0" fontId="3" fillId="6" borderId="6" xfId="0" applyFont="1" applyFill="1" applyBorder="1"/>
    <xf numFmtId="0" fontId="3" fillId="6" borderId="1" xfId="0" applyFont="1" applyFill="1" applyBorder="1"/>
    <xf numFmtId="0" fontId="0" fillId="6" borderId="1" xfId="0" applyFill="1" applyBorder="1" applyAlignment="1">
      <alignment wrapText="1"/>
    </xf>
    <xf numFmtId="0" fontId="5" fillId="6" borderId="1" xfId="0" applyFont="1" applyFill="1" applyBorder="1" applyAlignment="1">
      <alignment wrapText="1"/>
    </xf>
    <xf numFmtId="0" fontId="5" fillId="6" borderId="1" xfId="0" applyFont="1" applyFill="1" applyBorder="1" applyAlignment="1">
      <alignment horizontal="center" wrapText="1"/>
    </xf>
    <xf numFmtId="0" fontId="8" fillId="6" borderId="1" xfId="0" applyFont="1" applyFill="1" applyBorder="1" applyAlignment="1">
      <alignment horizontal="center" wrapText="1"/>
    </xf>
    <xf numFmtId="0" fontId="0" fillId="6" borderId="2" xfId="0" applyFill="1" applyBorder="1" applyAlignment="1">
      <alignment wrapText="1"/>
    </xf>
    <xf numFmtId="0" fontId="8" fillId="6" borderId="1" xfId="0" applyFont="1" applyFill="1" applyBorder="1"/>
    <xf numFmtId="0" fontId="8" fillId="6" borderId="1" xfId="0" applyFont="1" applyFill="1" applyBorder="1" applyAlignment="1">
      <alignment wrapText="1"/>
    </xf>
    <xf numFmtId="3" fontId="1" fillId="0" borderId="1" xfId="0" applyNumberFormat="1" applyFont="1" applyBorder="1" applyAlignment="1">
      <alignment wrapText="1"/>
    </xf>
    <xf numFmtId="0" fontId="1" fillId="0" borderId="0" xfId="0" applyFont="1"/>
    <xf numFmtId="0" fontId="1" fillId="0" borderId="2" xfId="0" applyFont="1" applyBorder="1"/>
    <xf numFmtId="0" fontId="1" fillId="0" borderId="11" xfId="0" applyFont="1" applyBorder="1"/>
    <xf numFmtId="0" fontId="20" fillId="0" borderId="2" xfId="0" applyFont="1" applyBorder="1"/>
    <xf numFmtId="0" fontId="1" fillId="0" borderId="0" xfId="0" applyFont="1" applyAlignment="1">
      <alignment wrapText="1"/>
    </xf>
    <xf numFmtId="49" fontId="11" fillId="11" borderId="12" xfId="0" applyNumberFormat="1" applyFont="1" applyFill="1" applyBorder="1"/>
    <xf numFmtId="49" fontId="5" fillId="0" borderId="13" xfId="0" applyNumberFormat="1" applyFont="1" applyBorder="1" applyAlignment="1">
      <alignment vertical="center" wrapText="1"/>
    </xf>
    <xf numFmtId="0" fontId="1" fillId="0" borderId="13" xfId="0" applyFont="1" applyBorder="1"/>
    <xf numFmtId="0" fontId="0" fillId="0" borderId="13" xfId="0" applyBorder="1"/>
    <xf numFmtId="0" fontId="20" fillId="0" borderId="13" xfId="0" applyFont="1" applyBorder="1"/>
    <xf numFmtId="0" fontId="20" fillId="0" borderId="14" xfId="0" applyFont="1" applyBorder="1"/>
    <xf numFmtId="0" fontId="20" fillId="0" borderId="15" xfId="0" applyFont="1" applyBorder="1"/>
    <xf numFmtId="0" fontId="20" fillId="0" borderId="16" xfId="0" applyFont="1" applyBorder="1"/>
  </cellXfs>
  <cellStyles count="1">
    <cellStyle name="Normale" xfId="0" builtinId="0"/>
  </cellStyles>
  <dxfs count="67">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val="0"/>
        <i val="0"/>
        <strike val="0"/>
        <condense val="0"/>
        <extend val="0"/>
        <outline val="0"/>
        <shadow val="0"/>
        <u val="none"/>
        <vertAlign val="baseline"/>
        <sz val="10"/>
        <color theme="1"/>
        <name val="Calibri"/>
        <scheme val="major"/>
      </font>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alignment horizontal="general" vertical="bottom"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font>
        <sz val="10"/>
        <name val="Calibri"/>
        <scheme val="major"/>
      </font>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sz val="10"/>
        <name val="Calibri"/>
        <scheme val="major"/>
      </font>
    </dxf>
    <dxf>
      <font>
        <sz val="10"/>
        <name val="Calibri"/>
        <scheme val="major"/>
      </font>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auto="1"/>
        <name val="Calibri"/>
        <family val="2"/>
        <scheme val="none"/>
      </font>
      <fill>
        <patternFill patternType="solid">
          <fgColor indexed="64"/>
          <bgColor rgb="FFFF0000"/>
        </patternFill>
      </fill>
      <alignment horizontal="center" vertical="top"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2">
    <tableStyle name="ThreatsPerAssetType-style" pivot="0" count="2" xr9:uid="{00000000-0011-0000-FFFF-FFFF00000000}">
      <tableStyleElement type="firstRowStripe" dxfId="66"/>
      <tableStyleElement type="secondRowStripe" dxfId="65"/>
    </tableStyle>
    <tableStyle name="Asset Types-style" pivot="0" count="2" xr9:uid="{00000000-0011-0000-FFFF-FFFF01000000}">
      <tableStyleElement type="firstRowStripe" dxfId="64"/>
      <tableStyleElement type="secondRowStripe" dxfId="6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6C99E9-8D0F-4768-8A88-32E78696FCDF}" name="Table3" displayName="Table3" ref="A1:AX126" totalsRowShown="0" headerRowDxfId="62" dataDxfId="61">
  <autoFilter ref="A1:AX126" xr:uid="{BE6C99E9-8D0F-4768-8A88-32E78696FCDF}"/>
  <sortState xmlns:xlrd2="http://schemas.microsoft.com/office/spreadsheetml/2017/richdata2" ref="A2:AX126">
    <sortCondition ref="A1:A126"/>
  </sortState>
  <tableColumns count="50">
    <tableColumn id="2" xr3:uid="{92F25BBB-FDFC-4DF5-8410-EB7AC9797F46}" name="Column1" dataDxfId="60"/>
    <tableColumn id="48" xr3:uid="{06F03740-0DBA-4157-96DB-81F9B556B719}" name="Download" dataDxfId="59"/>
    <tableColumn id="49" xr3:uid="{9AB45D3F-BF1F-4CCC-8581-51FC7C72FB90}" name="Accepted" dataDxfId="58"/>
    <tableColumn id="50" xr3:uid="{739D4D63-29BD-445D-9D0C-1F52A588262E}" name="Rejected" dataDxfId="57"/>
    <tableColumn id="1" xr3:uid="{2FCDDDB1-6CF9-4D0C-8A71-1D1228DD5697}" name="In reference" dataDxfId="56"/>
    <tableColumn id="3" xr3:uid="{B69423CD-CE76-466C-843C-455FF0166329}" name="﻿&quot;Authors&quot;" dataDxfId="55"/>
    <tableColumn id="4" xr3:uid="{26E3A757-F3E5-44E5-99A7-A22AEF8713AC}" name="Author full names" dataDxfId="54"/>
    <tableColumn id="5" xr3:uid="{CB43E959-836A-4AF5-B915-131294407B67}" name="Author(s) ID" dataDxfId="53"/>
    <tableColumn id="6" xr3:uid="{0EEFE55B-5D1A-4059-B57D-BA21DF853176}" name="Title" dataDxfId="52"/>
    <tableColumn id="7" xr3:uid="{3E2232A3-6CFC-400B-A09E-E74405D4D49B}" name="Year" dataDxfId="51"/>
    <tableColumn id="8" xr3:uid="{8E573524-26CF-48B4-9D6D-C3405FD90F77}" name="Source title" dataDxfId="50"/>
    <tableColumn id="9" xr3:uid="{88AF7DE8-89F5-40EA-ADAB-881C9BE16750}" name="Volume" dataDxfId="49"/>
    <tableColumn id="10" xr3:uid="{C02E9D01-35A0-4916-A8BC-3D19F32989E5}" name="Issue" dataDxfId="48"/>
    <tableColumn id="11" xr3:uid="{4F3DEF62-75B0-4908-93F2-3E7F0CA7B506}" name="Art. No."/>
    <tableColumn id="12" xr3:uid="{F4C7E935-4D8E-479C-ADF0-2A68273DDF3A}" name="Page start" dataDxfId="47"/>
    <tableColumn id="13" xr3:uid="{3A0180AF-D667-4EBB-84D2-BE70D2A8C5AB}" name="Page end" dataDxfId="46"/>
    <tableColumn id="14" xr3:uid="{3E747361-8302-41FE-A7EA-E4390370502B}" name="Page count" dataDxfId="45"/>
    <tableColumn id="15" xr3:uid="{86D187D6-9C0B-4011-BDEA-3FD57DBF6030}" name="Cited by" dataDxfId="44"/>
    <tableColumn id="16" xr3:uid="{60778912-CE9B-4D27-906E-C5FC4DC35848}" name="DOI" dataDxfId="43"/>
    <tableColumn id="17" xr3:uid="{E8A489B1-A6E1-42F0-8FF5-BC78D1934DC8}" name="Link" dataDxfId="42"/>
    <tableColumn id="18" xr3:uid="{D8D0AAEC-EF06-4A21-AD21-22DFFC39CBC4}" name="Affiliations" dataDxfId="41"/>
    <tableColumn id="19" xr3:uid="{01104F93-0B98-4C16-9F34-DA548FC20E7B}" name="Authors with affiliations" dataDxfId="40"/>
    <tableColumn id="20" xr3:uid="{4E0BA5E4-4BA0-446F-A68B-E9D56A0B8C5D}" name="Abstract" dataDxfId="39"/>
    <tableColumn id="21" xr3:uid="{F2653DA4-9FD0-4568-B8FA-9E10F3BCDC7B}" name="Author Keywords" dataDxfId="38"/>
    <tableColumn id="22" xr3:uid="{D2249547-3682-443A-B4BA-E592229138A8}" name="Index Keywords" dataDxfId="37"/>
    <tableColumn id="23" xr3:uid="{6E298AAB-8D6D-4087-9ECB-D8883E1525A2}" name="Correspondence Address" dataDxfId="36"/>
    <tableColumn id="24" xr3:uid="{D1EB0EA7-FE31-4B20-AE65-B2392C3BBAED}" name="Editors"/>
    <tableColumn id="25" xr3:uid="{2CB62BBB-6DBD-4A1E-B736-B578684E2BF6}" name="Publisher" dataDxfId="35"/>
    <tableColumn id="26" xr3:uid="{67560EDC-8213-48CE-B48D-7C437F0D9804}" name="ISSN" dataDxfId="34"/>
    <tableColumn id="27" xr3:uid="{3291DB44-2324-480C-AAA6-EB68F9F87BB7}" name="ISBN"/>
    <tableColumn id="28" xr3:uid="{36E6C0E8-57C7-457A-A892-E9F456C42932}" name="CODEN"/>
    <tableColumn id="29" xr3:uid="{95E818E6-CF8A-4598-8D9D-0C0E7B403ACD}" name="PubMed ID"/>
    <tableColumn id="30" xr3:uid="{F5038767-AF55-4004-AA7C-FD5ABCF2E258}" name="Language of Original Document" dataDxfId="33"/>
    <tableColumn id="31" xr3:uid="{7BC1B7CF-1FEA-4EF4-890A-CB5E5A2A992F}" name="Abbreviated Source Title" dataDxfId="32"/>
    <tableColumn id="32" xr3:uid="{64B515DB-469D-4008-8E6A-7EE6956B9560}" name="Document Type" dataDxfId="31"/>
    <tableColumn id="33" xr3:uid="{B3E72E21-7F24-4629-84C2-B5EAFD1E1AD3}" name="Publication Stage" dataDxfId="30"/>
    <tableColumn id="34" xr3:uid="{03ABA5E7-3FE2-4978-AFEF-6683932884E8}" name="Open Access"/>
    <tableColumn id="35" xr3:uid="{60A42EB9-C494-4A09-BA6A-A47D10DDF8DD}" name="Source" dataDxfId="29"/>
    <tableColumn id="36" xr3:uid="{D8FF8184-568F-42B1-A938-C515B8E914FA}" name="EID" dataDxfId="28"/>
    <tableColumn id="37" xr3:uid="{CF5BBE77-3920-46DD-A33D-A3412BB21CDE}" name="asreview_label" dataDxfId="27"/>
    <tableColumn id="38" xr3:uid="{2FED1A7F-FD1E-486D-8D03-97FD16861F19}" name="asreview_time" dataDxfId="26"/>
    <tableColumn id="39" xr3:uid="{74177341-EF22-4B90-B133-29CF084A47D6}" name="asreview_note"/>
    <tableColumn id="40" xr3:uid="{876E2CD9-1FBE-457D-B69C-9EFD327CE7B3}" name="asreview_tag_inclusion_threatanalysis"/>
    <tableColumn id="41" xr3:uid="{184251F7-B449-4E59-AA54-E3448627EA86}" name="asreview_tag_inclusion_containsthreats"/>
    <tableColumn id="42" xr3:uid="{439445E7-6353-4BA1-92A5-7C1C052100ED}" name="asreview_tag_exclusion_not_relatedtoics" dataDxfId="25"/>
    <tableColumn id="43" xr3:uid="{A1761CEC-C511-4ECC-9493-63BEBAB024E6}" name="asreview_tag_exclusion_notthreatmodelling" dataDxfId="24"/>
    <tableColumn id="44" xr3:uid="{610CC079-5339-4576-B53A-B40B0EE707E4}" name="asreview_tag_exclusion_notwritterinenglish" dataDxfId="23"/>
    <tableColumn id="45" xr3:uid="{A1A5AEEA-8644-43C2-B8E9-7F97F260EDBD}" name="asreview_tag_exclusion_nottechnical" dataDxfId="22"/>
    <tableColumn id="46" xr3:uid="{6F9B9F94-5E93-4439-A4AE-45A7FF622ED0}" name="asreview_tag_inclusion_threatanalysismethodology" dataDxfId="21"/>
    <tableColumn id="47" xr3:uid="{30792347-2530-444A-B105-9270AC5016BF}" name="asreview_tag_inclusion_containsthreats_non_threat_models" dataDxfId="2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J50" headerRowCount="0" headerRowDxfId="19" dataDxfId="18" totalsRowDxfId="16" tableBorderDxfId="17">
  <tableColumns count="9">
    <tableColumn id="1" xr3:uid="{00000000-0010-0000-0000-000001000000}" name="Column1" dataDxfId="15"/>
    <tableColumn id="2" xr3:uid="{00000000-0010-0000-0000-000002000000}" name="Column2" dataDxfId="14"/>
    <tableColumn id="3" xr3:uid="{7BE39368-27BE-4152-B500-D446A6F7FA0E}" name="Colonna1" dataDxfId="13"/>
    <tableColumn id="4" xr3:uid="{5E191DFD-2D16-4F95-A622-E074F7EE438C}" name="Colonna2" dataDxfId="12"/>
    <tableColumn id="5" xr3:uid="{0B58A523-8139-4ABC-BE62-A2F4CE2629E0}" name="Colonna3" dataDxfId="11"/>
    <tableColumn id="6" xr3:uid="{C557E0D8-FF14-4B07-8A1D-A76E7C101036}" name="Colonna4" dataDxfId="10"/>
    <tableColumn id="7" xr3:uid="{37E34D9C-145E-41F5-BF78-14B521E4D34E}" name="Colonna5" dataDxfId="9"/>
    <tableColumn id="8" xr3:uid="{B23C818F-B55B-4868-AB92-C8649F17F801}" name="Colonna6" dataDxfId="8"/>
    <tableColumn id="9" xr3:uid="{94F30ACB-7852-44F7-8CAA-EC0AFFF5ECEE}" name="Colonna7" dataDxfId="7"/>
  </tableColumns>
  <tableStyleInfo name="ThreatsPerAssetTyp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E15" headerRowCount="0">
  <tableColumns count="4">
    <tableColumn id="1" xr3:uid="{00000000-0010-0000-0100-000001000000}" name="Column1"/>
    <tableColumn id="2" xr3:uid="{00000000-0010-0000-0100-000002000000}" name="Column2"/>
    <tableColumn id="3" xr3:uid="{19E4C1A7-F72B-4BF1-8018-7E33F735372B}" name="Column3"/>
    <tableColumn id="4" xr3:uid="{90110A90-D594-4A4F-BCED-3916A3EA0D4F}" name="Colonna1"/>
  </tableColumns>
  <tableStyleInfo name="Asset Typ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988"/>
  <sheetViews>
    <sheetView topLeftCell="A25" workbookViewId="0">
      <selection activeCell="C28" sqref="C28"/>
    </sheetView>
  </sheetViews>
  <sheetFormatPr baseColWidth="10" defaultColWidth="14.5" defaultRowHeight="15" customHeight="1"/>
  <cols>
    <col min="1" max="1" width="11.1640625" customWidth="1"/>
    <col min="2" max="2" width="9.1640625" customWidth="1"/>
    <col min="3" max="3" width="47.6640625" customWidth="1"/>
    <col min="4" max="4" width="9.6640625" customWidth="1"/>
    <col min="5" max="5" width="9.33203125" customWidth="1"/>
    <col min="6" max="6" width="14.1640625" customWidth="1"/>
    <col min="7" max="7" width="12" hidden="1" customWidth="1"/>
    <col min="8" max="8" width="67.1640625" hidden="1" customWidth="1"/>
    <col min="9" max="9" width="78.33203125" customWidth="1"/>
    <col min="10" max="10" width="51.33203125" customWidth="1"/>
    <col min="11" max="11" width="18.5" customWidth="1"/>
    <col min="12" max="12" width="19.33203125" customWidth="1"/>
    <col min="13" max="13" width="10.1640625" customWidth="1"/>
    <col min="14" max="14" width="12.1640625" customWidth="1"/>
    <col min="15" max="15" width="11.33203125" customWidth="1"/>
    <col min="16" max="16" width="13" customWidth="1"/>
    <col min="17" max="17" width="10.5" customWidth="1"/>
    <col min="18" max="18" width="41.83203125" customWidth="1"/>
    <col min="19" max="19" width="163.83203125" customWidth="1"/>
    <col min="20" max="24" width="255.6640625" customWidth="1"/>
    <col min="25" max="25" width="225.5" customWidth="1"/>
    <col min="26" max="26" width="177.6640625" customWidth="1"/>
    <col min="27" max="27" width="50.33203125" customWidth="1"/>
    <col min="28" max="28" width="9.5" customWidth="1"/>
    <col min="29" max="29" width="98.6640625" customWidth="1"/>
    <col min="30" max="30" width="9.5" customWidth="1"/>
    <col min="31" max="31" width="13.1640625" customWidth="1"/>
    <col min="32" max="32" width="31.1640625" customWidth="1"/>
    <col min="33" max="33" width="72.5" customWidth="1"/>
    <col min="34" max="34" width="17.1640625" customWidth="1"/>
    <col min="35" max="35" width="18.5" customWidth="1"/>
    <col min="36" max="36" width="55.5" customWidth="1"/>
    <col min="37" max="37" width="9.1640625" customWidth="1"/>
    <col min="38" max="38" width="19.83203125" customWidth="1"/>
    <col min="39" max="39" width="16.5" customWidth="1"/>
    <col min="40" max="40" width="19" customWidth="1"/>
    <col min="41" max="41" width="16.33203125" customWidth="1"/>
    <col min="42" max="42" width="37.5" customWidth="1"/>
    <col min="43" max="43" width="39" customWidth="1"/>
    <col min="44" max="44" width="40.1640625" customWidth="1"/>
    <col min="45" max="45" width="42.83203125" customWidth="1"/>
    <col min="46" max="46" width="42.6640625" customWidth="1"/>
    <col min="47" max="47" width="41" customWidth="1"/>
    <col min="48" max="48" width="49.5" customWidth="1"/>
    <col min="49" max="49" width="57.6640625" customWidth="1"/>
  </cols>
  <sheetData>
    <row r="1" spans="1:50" ht="32">
      <c r="A1" t="s">
        <v>0</v>
      </c>
      <c r="B1" t="s">
        <v>1</v>
      </c>
      <c r="C1" s="9" t="s">
        <v>2</v>
      </c>
      <c r="D1" s="9" t="s">
        <v>3</v>
      </c>
      <c r="E1" s="8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row>
    <row r="2" spans="1:50" s="17" customFormat="1">
      <c r="A2" s="14">
        <v>6</v>
      </c>
      <c r="B2" s="15" t="s">
        <v>50</v>
      </c>
      <c r="C2" s="15"/>
      <c r="D2" s="15" t="s">
        <v>51</v>
      </c>
      <c r="E2" s="15"/>
      <c r="F2" s="16" t="s">
        <v>52</v>
      </c>
      <c r="G2" s="16" t="s">
        <v>53</v>
      </c>
      <c r="H2" s="16" t="s">
        <v>54</v>
      </c>
      <c r="I2" s="16" t="s">
        <v>55</v>
      </c>
      <c r="J2" s="16">
        <v>2025</v>
      </c>
      <c r="K2" s="16" t="s">
        <v>56</v>
      </c>
      <c r="L2" s="16" t="s">
        <v>57</v>
      </c>
      <c r="M2" s="16" t="s">
        <v>58</v>
      </c>
      <c r="O2" s="16">
        <v>139</v>
      </c>
      <c r="P2" s="16">
        <v>162</v>
      </c>
      <c r="Q2" s="16">
        <v>23</v>
      </c>
      <c r="R2" s="16">
        <v>0</v>
      </c>
      <c r="S2" s="16" t="s">
        <v>59</v>
      </c>
      <c r="T2" s="16" t="s">
        <v>60</v>
      </c>
      <c r="U2" s="16" t="s">
        <v>61</v>
      </c>
      <c r="V2" s="16" t="s">
        <v>62</v>
      </c>
      <c r="W2" s="16" t="s">
        <v>63</v>
      </c>
      <c r="X2" s="16" t="s">
        <v>64</v>
      </c>
      <c r="Z2" s="16" t="s">
        <v>65</v>
      </c>
      <c r="AB2" s="16" t="s">
        <v>66</v>
      </c>
      <c r="AC2" s="16" t="s">
        <v>67</v>
      </c>
      <c r="AG2" s="16" t="s">
        <v>68</v>
      </c>
      <c r="AH2" s="16" t="s">
        <v>69</v>
      </c>
      <c r="AI2" s="16" t="s">
        <v>70</v>
      </c>
      <c r="AJ2" s="16" t="s">
        <v>71</v>
      </c>
      <c r="AL2" s="16" t="s">
        <v>72</v>
      </c>
      <c r="AM2" s="16" t="s">
        <v>73</v>
      </c>
      <c r="AN2" s="16">
        <v>1</v>
      </c>
      <c r="AO2" s="16" t="s">
        <v>74</v>
      </c>
      <c r="AQ2" s="16">
        <v>0</v>
      </c>
      <c r="AR2" s="16">
        <v>1</v>
      </c>
      <c r="AS2" s="16">
        <v>0</v>
      </c>
      <c r="AT2" s="16">
        <v>0</v>
      </c>
      <c r="AU2" s="16">
        <v>0</v>
      </c>
      <c r="AV2" s="16">
        <v>0</v>
      </c>
    </row>
    <row r="3" spans="1:50" s="13" customFormat="1">
      <c r="A3" s="10">
        <v>13</v>
      </c>
      <c r="B3" s="11" t="s">
        <v>75</v>
      </c>
      <c r="C3" s="26" t="s">
        <v>76</v>
      </c>
      <c r="D3" s="26"/>
      <c r="E3" s="26" t="s">
        <v>77</v>
      </c>
      <c r="F3" s="12" t="s">
        <v>78</v>
      </c>
      <c r="G3" s="12" t="s">
        <v>79</v>
      </c>
      <c r="H3" s="12" t="s">
        <v>80</v>
      </c>
      <c r="I3" s="12" t="s">
        <v>81</v>
      </c>
      <c r="J3" s="12">
        <v>2024</v>
      </c>
      <c r="K3" s="12" t="s">
        <v>82</v>
      </c>
      <c r="L3" s="12" t="s">
        <v>83</v>
      </c>
      <c r="M3" s="12" t="s">
        <v>84</v>
      </c>
      <c r="O3" s="12">
        <v>10467</v>
      </c>
      <c r="P3" s="12">
        <v>10485</v>
      </c>
      <c r="Q3" s="12">
        <v>18</v>
      </c>
      <c r="R3" s="12">
        <v>4</v>
      </c>
      <c r="S3" s="12" t="s">
        <v>85</v>
      </c>
      <c r="T3" s="12" t="s">
        <v>86</v>
      </c>
      <c r="U3" s="12" t="s">
        <v>87</v>
      </c>
      <c r="V3" s="12" t="s">
        <v>88</v>
      </c>
      <c r="W3" s="12" t="s">
        <v>89</v>
      </c>
      <c r="X3" s="12" t="s">
        <v>90</v>
      </c>
      <c r="Y3" s="12" t="s">
        <v>91</v>
      </c>
      <c r="Z3" s="12" t="s">
        <v>92</v>
      </c>
      <c r="AB3" s="12" t="s">
        <v>93</v>
      </c>
      <c r="AC3" s="12" t="s">
        <v>94</v>
      </c>
      <c r="AG3" s="12" t="s">
        <v>95</v>
      </c>
      <c r="AH3" s="12" t="s">
        <v>96</v>
      </c>
      <c r="AI3" s="12" t="s">
        <v>70</v>
      </c>
      <c r="AJ3" s="12" t="s">
        <v>71</v>
      </c>
      <c r="AK3" s="12" t="s">
        <v>97</v>
      </c>
      <c r="AL3" s="12" t="s">
        <v>72</v>
      </c>
      <c r="AM3" s="12" t="s">
        <v>98</v>
      </c>
      <c r="AN3" s="12">
        <v>1</v>
      </c>
      <c r="AO3" s="12" t="s">
        <v>99</v>
      </c>
      <c r="AS3" s="12">
        <v>0</v>
      </c>
      <c r="AT3" s="12">
        <v>0</v>
      </c>
      <c r="AU3" s="12">
        <v>0</v>
      </c>
      <c r="AV3" s="12">
        <v>0</v>
      </c>
      <c r="AW3" s="12">
        <v>0</v>
      </c>
      <c r="AX3" s="12">
        <v>1</v>
      </c>
    </row>
    <row r="4" spans="1:50" s="13" customFormat="1">
      <c r="A4" s="10">
        <v>24</v>
      </c>
      <c r="B4" s="11" t="s">
        <v>75</v>
      </c>
      <c r="C4" s="26" t="s">
        <v>100</v>
      </c>
      <c r="D4" s="26"/>
      <c r="E4" s="26" t="s">
        <v>77</v>
      </c>
      <c r="F4" s="12" t="s">
        <v>101</v>
      </c>
      <c r="G4" s="12" t="s">
        <v>102</v>
      </c>
      <c r="H4" s="12" t="s">
        <v>103</v>
      </c>
      <c r="I4" s="12" t="s">
        <v>104</v>
      </c>
      <c r="J4" s="12">
        <v>2025</v>
      </c>
      <c r="K4" s="12" t="s">
        <v>105</v>
      </c>
      <c r="L4" s="12" t="s">
        <v>106</v>
      </c>
      <c r="N4" s="12" t="s">
        <v>107</v>
      </c>
      <c r="R4" s="12">
        <v>1</v>
      </c>
      <c r="S4" s="12" t="s">
        <v>108</v>
      </c>
      <c r="T4" s="12" t="s">
        <v>109</v>
      </c>
      <c r="U4" s="12" t="s">
        <v>110</v>
      </c>
      <c r="V4" s="12" t="s">
        <v>111</v>
      </c>
      <c r="W4" s="12" t="s">
        <v>112</v>
      </c>
      <c r="X4" s="12" t="s">
        <v>113</v>
      </c>
      <c r="Y4" s="12" t="s">
        <v>114</v>
      </c>
      <c r="Z4" s="12" t="s">
        <v>115</v>
      </c>
      <c r="AB4" s="12" t="s">
        <v>116</v>
      </c>
      <c r="AC4" s="12" t="s">
        <v>117</v>
      </c>
      <c r="AE4" s="12" t="s">
        <v>118</v>
      </c>
      <c r="AG4" s="12" t="s">
        <v>95</v>
      </c>
      <c r="AH4" s="12" t="s">
        <v>119</v>
      </c>
      <c r="AI4" s="12" t="s">
        <v>70</v>
      </c>
      <c r="AJ4" s="12" t="s">
        <v>71</v>
      </c>
      <c r="AL4" s="12" t="s">
        <v>72</v>
      </c>
      <c r="AM4" s="12" t="s">
        <v>120</v>
      </c>
      <c r="AN4" s="12">
        <v>1</v>
      </c>
      <c r="AO4" s="12" t="s">
        <v>121</v>
      </c>
      <c r="AS4" s="12">
        <v>0</v>
      </c>
      <c r="AT4" s="12">
        <v>0</v>
      </c>
      <c r="AU4" s="12">
        <v>0</v>
      </c>
      <c r="AV4" s="12">
        <v>0</v>
      </c>
      <c r="AW4" s="12">
        <v>0</v>
      </c>
      <c r="AX4" s="12">
        <v>1</v>
      </c>
    </row>
    <row r="5" spans="1:50" s="17" customFormat="1">
      <c r="A5" s="14">
        <v>27</v>
      </c>
      <c r="B5" s="15" t="s">
        <v>75</v>
      </c>
      <c r="C5" s="27"/>
      <c r="D5" s="27" t="s">
        <v>122</v>
      </c>
      <c r="E5" s="27"/>
      <c r="F5" s="16" t="s">
        <v>123</v>
      </c>
      <c r="G5" s="16" t="s">
        <v>124</v>
      </c>
      <c r="H5" s="16" t="s">
        <v>125</v>
      </c>
      <c r="I5" s="16" t="s">
        <v>126</v>
      </c>
      <c r="J5" s="16">
        <v>2025</v>
      </c>
      <c r="K5" s="16" t="s">
        <v>127</v>
      </c>
      <c r="L5" s="16" t="s">
        <v>128</v>
      </c>
      <c r="O5" s="16">
        <v>12502</v>
      </c>
      <c r="P5" s="16">
        <v>12514</v>
      </c>
      <c r="Q5" s="16">
        <v>12</v>
      </c>
      <c r="R5" s="16">
        <v>1</v>
      </c>
      <c r="S5" s="16" t="s">
        <v>129</v>
      </c>
      <c r="T5" s="16" t="s">
        <v>130</v>
      </c>
      <c r="U5" s="16" t="s">
        <v>131</v>
      </c>
      <c r="V5" s="16" t="s">
        <v>132</v>
      </c>
      <c r="W5" s="16" t="s">
        <v>133</v>
      </c>
      <c r="X5" s="16" t="s">
        <v>134</v>
      </c>
      <c r="Y5" s="16" t="s">
        <v>135</v>
      </c>
      <c r="Z5" s="16" t="s">
        <v>136</v>
      </c>
      <c r="AB5" s="16" t="s">
        <v>137</v>
      </c>
      <c r="AC5" s="16" t="s">
        <v>138</v>
      </c>
      <c r="AG5" s="16" t="s">
        <v>95</v>
      </c>
      <c r="AH5" s="16" t="s">
        <v>127</v>
      </c>
      <c r="AI5" s="16" t="s">
        <v>70</v>
      </c>
      <c r="AJ5" s="16" t="s">
        <v>71</v>
      </c>
      <c r="AK5" s="16" t="s">
        <v>139</v>
      </c>
      <c r="AL5" s="16" t="s">
        <v>72</v>
      </c>
      <c r="AM5" s="16" t="s">
        <v>140</v>
      </c>
      <c r="AN5" s="16">
        <v>1</v>
      </c>
      <c r="AO5" s="16" t="s">
        <v>141</v>
      </c>
      <c r="AS5" s="16">
        <v>0</v>
      </c>
      <c r="AT5" s="16">
        <v>0</v>
      </c>
      <c r="AU5" s="16">
        <v>0</v>
      </c>
      <c r="AV5" s="16">
        <v>0</v>
      </c>
      <c r="AW5" s="16">
        <v>0</v>
      </c>
      <c r="AX5" s="16">
        <v>1</v>
      </c>
    </row>
    <row r="6" spans="1:50" s="13" customFormat="1" ht="16">
      <c r="A6" s="10">
        <v>49</v>
      </c>
      <c r="B6" s="11" t="s">
        <v>75</v>
      </c>
      <c r="C6" s="85" t="s">
        <v>142</v>
      </c>
      <c r="D6" s="26"/>
      <c r="E6" s="26" t="s">
        <v>77</v>
      </c>
      <c r="F6" s="12" t="s">
        <v>143</v>
      </c>
      <c r="G6" s="12" t="s">
        <v>144</v>
      </c>
      <c r="H6" s="12" t="s">
        <v>145</v>
      </c>
      <c r="I6" s="12" t="s">
        <v>146</v>
      </c>
      <c r="J6" s="12">
        <v>2025</v>
      </c>
      <c r="K6" s="12" t="s">
        <v>147</v>
      </c>
      <c r="L6" s="12" t="s">
        <v>148</v>
      </c>
      <c r="N6" s="12" t="s">
        <v>149</v>
      </c>
      <c r="R6" s="12">
        <v>0</v>
      </c>
      <c r="S6" s="12" t="s">
        <v>150</v>
      </c>
      <c r="T6" s="12" t="s">
        <v>151</v>
      </c>
      <c r="U6" s="12" t="s">
        <v>152</v>
      </c>
      <c r="V6" s="12" t="s">
        <v>153</v>
      </c>
      <c r="W6" s="12" t="s">
        <v>154</v>
      </c>
      <c r="X6" s="12" t="s">
        <v>155</v>
      </c>
      <c r="Y6" s="12" t="s">
        <v>156</v>
      </c>
      <c r="Z6" s="12" t="s">
        <v>157</v>
      </c>
      <c r="AB6" s="12" t="s">
        <v>158</v>
      </c>
      <c r="AC6" s="12" t="s">
        <v>159</v>
      </c>
      <c r="AG6" s="12" t="s">
        <v>95</v>
      </c>
      <c r="AH6" s="12" t="s">
        <v>160</v>
      </c>
      <c r="AI6" s="12" t="s">
        <v>70</v>
      </c>
      <c r="AJ6" s="12" t="s">
        <v>71</v>
      </c>
      <c r="AL6" s="12" t="s">
        <v>72</v>
      </c>
      <c r="AM6" s="12" t="s">
        <v>161</v>
      </c>
      <c r="AN6" s="12">
        <v>1</v>
      </c>
      <c r="AO6" s="12" t="s">
        <v>162</v>
      </c>
      <c r="AS6" s="12">
        <v>0</v>
      </c>
      <c r="AT6" s="12">
        <v>0</v>
      </c>
      <c r="AU6" s="12">
        <v>0</v>
      </c>
      <c r="AV6" s="12">
        <v>0</v>
      </c>
      <c r="AW6" s="12">
        <v>0</v>
      </c>
      <c r="AX6" s="12">
        <v>1</v>
      </c>
    </row>
    <row r="7" spans="1:50" s="13" customFormat="1">
      <c r="A7" s="10">
        <v>60</v>
      </c>
      <c r="B7" s="11" t="s">
        <v>75</v>
      </c>
      <c r="C7" s="26" t="s">
        <v>163</v>
      </c>
      <c r="D7" s="26"/>
      <c r="E7" s="26" t="s">
        <v>77</v>
      </c>
      <c r="F7" s="12" t="s">
        <v>164</v>
      </c>
      <c r="G7" s="12" t="s">
        <v>165</v>
      </c>
      <c r="H7" s="12" t="s">
        <v>166</v>
      </c>
      <c r="I7" s="65" t="s">
        <v>167</v>
      </c>
      <c r="J7" s="12">
        <v>2025</v>
      </c>
      <c r="K7" s="12" t="s">
        <v>127</v>
      </c>
      <c r="L7" s="12" t="s">
        <v>128</v>
      </c>
      <c r="O7" s="12">
        <v>96911</v>
      </c>
      <c r="P7" s="12">
        <v>96932</v>
      </c>
      <c r="Q7" s="12">
        <v>21</v>
      </c>
      <c r="R7" s="12">
        <v>0</v>
      </c>
      <c r="S7" s="12" t="s">
        <v>168</v>
      </c>
      <c r="T7" s="12" t="s">
        <v>169</v>
      </c>
      <c r="U7" s="12" t="s">
        <v>170</v>
      </c>
      <c r="V7" s="12" t="s">
        <v>171</v>
      </c>
      <c r="W7" s="12" t="s">
        <v>172</v>
      </c>
      <c r="X7" s="12" t="s">
        <v>173</v>
      </c>
      <c r="Y7" s="12" t="s">
        <v>174</v>
      </c>
      <c r="Z7" s="12" t="s">
        <v>175</v>
      </c>
      <c r="AB7" s="12" t="s">
        <v>137</v>
      </c>
      <c r="AC7" s="12" t="s">
        <v>138</v>
      </c>
      <c r="AG7" s="12" t="s">
        <v>95</v>
      </c>
      <c r="AH7" s="12" t="s">
        <v>127</v>
      </c>
      <c r="AI7" s="12" t="s">
        <v>70</v>
      </c>
      <c r="AJ7" s="12" t="s">
        <v>71</v>
      </c>
      <c r="AL7" s="12" t="s">
        <v>72</v>
      </c>
      <c r="AM7" s="12" t="s">
        <v>176</v>
      </c>
      <c r="AN7" s="12">
        <v>1</v>
      </c>
      <c r="AO7" s="12" t="s">
        <v>177</v>
      </c>
      <c r="AQ7" s="12">
        <v>0</v>
      </c>
      <c r="AR7" s="12">
        <v>1</v>
      </c>
      <c r="AS7" s="12">
        <v>0</v>
      </c>
      <c r="AT7" s="12">
        <v>0</v>
      </c>
      <c r="AU7" s="12">
        <v>0</v>
      </c>
      <c r="AV7" s="12">
        <v>0</v>
      </c>
    </row>
    <row r="8" spans="1:50" s="17" customFormat="1">
      <c r="A8" s="14">
        <v>62</v>
      </c>
      <c r="B8" s="15" t="s">
        <v>75</v>
      </c>
      <c r="C8" s="27"/>
      <c r="D8" s="27" t="s">
        <v>178</v>
      </c>
      <c r="E8" s="27"/>
      <c r="F8" s="16" t="s">
        <v>179</v>
      </c>
      <c r="G8" s="16" t="s">
        <v>180</v>
      </c>
      <c r="H8" s="16" t="s">
        <v>181</v>
      </c>
      <c r="I8" s="16" t="s">
        <v>182</v>
      </c>
      <c r="J8" s="16">
        <v>2025</v>
      </c>
      <c r="K8" s="16" t="s">
        <v>183</v>
      </c>
      <c r="L8" s="16" t="s">
        <v>184</v>
      </c>
      <c r="M8" s="16" t="s">
        <v>185</v>
      </c>
      <c r="O8" s="16">
        <v>1509</v>
      </c>
      <c r="P8" s="16">
        <v>1521</v>
      </c>
      <c r="Q8" s="16">
        <v>12</v>
      </c>
      <c r="R8" s="16">
        <v>3</v>
      </c>
      <c r="S8" s="16" t="s">
        <v>186</v>
      </c>
      <c r="T8" s="16" t="s">
        <v>187</v>
      </c>
      <c r="U8" s="16" t="s">
        <v>188</v>
      </c>
      <c r="V8" s="16" t="s">
        <v>189</v>
      </c>
      <c r="W8" s="16" t="s">
        <v>190</v>
      </c>
      <c r="X8" s="16" t="s">
        <v>191</v>
      </c>
      <c r="Z8" s="16" t="s">
        <v>192</v>
      </c>
      <c r="AB8" s="16" t="s">
        <v>193</v>
      </c>
      <c r="AC8" s="16" t="s">
        <v>194</v>
      </c>
      <c r="AG8" s="16" t="s">
        <v>95</v>
      </c>
      <c r="AH8" s="16" t="s">
        <v>195</v>
      </c>
      <c r="AI8" s="16" t="s">
        <v>70</v>
      </c>
      <c r="AJ8" s="16" t="s">
        <v>71</v>
      </c>
      <c r="AL8" s="16" t="s">
        <v>72</v>
      </c>
      <c r="AM8" s="16" t="s">
        <v>196</v>
      </c>
      <c r="AN8" s="16">
        <v>1</v>
      </c>
      <c r="AO8" s="16" t="s">
        <v>197</v>
      </c>
      <c r="AS8" s="16">
        <v>0</v>
      </c>
      <c r="AT8" s="16">
        <v>0</v>
      </c>
      <c r="AU8" s="16">
        <v>0</v>
      </c>
      <c r="AV8" s="16">
        <v>0</v>
      </c>
      <c r="AW8" s="16">
        <v>1</v>
      </c>
      <c r="AX8" s="16">
        <v>0</v>
      </c>
    </row>
    <row r="9" spans="1:50" s="13" customFormat="1" ht="16">
      <c r="A9" s="10">
        <v>71</v>
      </c>
      <c r="B9" s="11" t="s">
        <v>198</v>
      </c>
      <c r="C9" s="85" t="s">
        <v>199</v>
      </c>
      <c r="D9" s="26">
        <v>71</v>
      </c>
      <c r="E9" s="26" t="s">
        <v>77</v>
      </c>
      <c r="F9" s="12" t="s">
        <v>200</v>
      </c>
      <c r="G9" s="12" t="s">
        <v>201</v>
      </c>
      <c r="H9" s="12" t="s">
        <v>202</v>
      </c>
      <c r="I9" s="12" t="s">
        <v>203</v>
      </c>
      <c r="J9" s="12">
        <v>2024</v>
      </c>
      <c r="K9" s="12" t="s">
        <v>204</v>
      </c>
      <c r="L9" s="12" t="s">
        <v>205</v>
      </c>
      <c r="M9" s="12" t="s">
        <v>206</v>
      </c>
      <c r="O9" s="12">
        <v>2539</v>
      </c>
      <c r="P9" s="12">
        <v>2550</v>
      </c>
      <c r="Q9" s="12">
        <v>11</v>
      </c>
      <c r="R9" s="12">
        <v>6</v>
      </c>
      <c r="S9" s="12" t="s">
        <v>207</v>
      </c>
      <c r="T9" s="12" t="s">
        <v>208</v>
      </c>
      <c r="U9" s="12" t="s">
        <v>209</v>
      </c>
      <c r="V9" s="12" t="s">
        <v>210</v>
      </c>
      <c r="W9" s="12" t="s">
        <v>211</v>
      </c>
      <c r="X9" s="12" t="s">
        <v>212</v>
      </c>
      <c r="Y9" s="12" t="s">
        <v>213</v>
      </c>
      <c r="Z9" s="12" t="s">
        <v>214</v>
      </c>
      <c r="AB9" s="12" t="s">
        <v>137</v>
      </c>
      <c r="AC9" s="12" t="s">
        <v>215</v>
      </c>
      <c r="AG9" s="12" t="s">
        <v>95</v>
      </c>
      <c r="AH9" s="12" t="s">
        <v>216</v>
      </c>
      <c r="AI9" s="12" t="s">
        <v>70</v>
      </c>
      <c r="AJ9" s="12" t="s">
        <v>71</v>
      </c>
      <c r="AL9" s="12" t="s">
        <v>72</v>
      </c>
      <c r="AM9" s="12" t="s">
        <v>217</v>
      </c>
      <c r="AN9" s="12">
        <v>1</v>
      </c>
      <c r="AO9" s="12" t="s">
        <v>218</v>
      </c>
      <c r="AQ9" s="12">
        <v>0</v>
      </c>
      <c r="AR9" s="12">
        <v>1</v>
      </c>
      <c r="AS9" s="12">
        <v>0</v>
      </c>
      <c r="AT9" s="12">
        <v>0</v>
      </c>
      <c r="AU9" s="12">
        <v>0</v>
      </c>
      <c r="AV9" s="12">
        <v>0</v>
      </c>
    </row>
    <row r="10" spans="1:50" s="13" customFormat="1">
      <c r="A10" s="10">
        <v>77</v>
      </c>
      <c r="B10" s="11" t="s">
        <v>75</v>
      </c>
      <c r="C10" s="26" t="s">
        <v>219</v>
      </c>
      <c r="D10" s="26"/>
      <c r="E10" s="26" t="s">
        <v>77</v>
      </c>
      <c r="F10" s="12" t="s">
        <v>220</v>
      </c>
      <c r="G10" s="12" t="s">
        <v>221</v>
      </c>
      <c r="H10" s="12" t="s">
        <v>222</v>
      </c>
      <c r="I10" s="12" t="s">
        <v>223</v>
      </c>
      <c r="J10" s="12">
        <v>2025</v>
      </c>
      <c r="K10" s="12" t="s">
        <v>105</v>
      </c>
      <c r="L10" s="12" t="s">
        <v>224</v>
      </c>
      <c r="N10" s="12" t="s">
        <v>225</v>
      </c>
      <c r="R10" s="12">
        <v>0</v>
      </c>
      <c r="S10" s="12" t="s">
        <v>226</v>
      </c>
      <c r="T10" s="12" t="s">
        <v>227</v>
      </c>
      <c r="U10" s="12" t="s">
        <v>228</v>
      </c>
      <c r="V10" s="12" t="s">
        <v>229</v>
      </c>
      <c r="W10" s="12" t="s">
        <v>230</v>
      </c>
      <c r="X10" s="12" t="s">
        <v>231</v>
      </c>
      <c r="Y10" s="12" t="s">
        <v>232</v>
      </c>
      <c r="Z10" s="12" t="s">
        <v>233</v>
      </c>
      <c r="AB10" s="12" t="s">
        <v>116</v>
      </c>
      <c r="AC10" s="12" t="s">
        <v>117</v>
      </c>
      <c r="AE10" s="12" t="s">
        <v>118</v>
      </c>
      <c r="AG10" s="12" t="s">
        <v>95</v>
      </c>
      <c r="AH10" s="12" t="s">
        <v>119</v>
      </c>
      <c r="AI10" s="12" t="s">
        <v>70</v>
      </c>
      <c r="AJ10" s="12" t="s">
        <v>71</v>
      </c>
      <c r="AK10" s="12" t="s">
        <v>97</v>
      </c>
      <c r="AL10" s="12" t="s">
        <v>72</v>
      </c>
      <c r="AM10" s="12" t="s">
        <v>234</v>
      </c>
      <c r="AN10" s="12">
        <v>1</v>
      </c>
      <c r="AO10" s="12" t="s">
        <v>235</v>
      </c>
      <c r="AS10" s="12">
        <v>0</v>
      </c>
      <c r="AT10" s="12">
        <v>0</v>
      </c>
      <c r="AU10" s="12">
        <v>0</v>
      </c>
      <c r="AV10" s="12">
        <v>0</v>
      </c>
      <c r="AW10" s="12">
        <v>0</v>
      </c>
      <c r="AX10" s="12">
        <v>1</v>
      </c>
    </row>
    <row r="11" spans="1:50" s="13" customFormat="1" ht="16">
      <c r="A11" s="10">
        <v>82</v>
      </c>
      <c r="B11" s="11" t="s">
        <v>75</v>
      </c>
      <c r="C11" s="85" t="s">
        <v>236</v>
      </c>
      <c r="D11" s="26"/>
      <c r="E11" s="26" t="s">
        <v>77</v>
      </c>
      <c r="F11" s="12" t="s">
        <v>237</v>
      </c>
      <c r="G11" s="12" t="s">
        <v>238</v>
      </c>
      <c r="H11" s="12" t="s">
        <v>239</v>
      </c>
      <c r="I11" s="12" t="s">
        <v>240</v>
      </c>
      <c r="J11" s="12">
        <v>2025</v>
      </c>
      <c r="K11" s="12" t="s">
        <v>241</v>
      </c>
      <c r="O11" s="12">
        <v>204</v>
      </c>
      <c r="P11" s="12">
        <v>207</v>
      </c>
      <c r="Q11" s="12">
        <v>3</v>
      </c>
      <c r="R11" s="12">
        <v>0</v>
      </c>
      <c r="T11" s="12" t="s">
        <v>242</v>
      </c>
      <c r="U11" s="12" t="s">
        <v>243</v>
      </c>
      <c r="V11" s="12" t="s">
        <v>244</v>
      </c>
      <c r="W11" s="12" t="s">
        <v>245</v>
      </c>
      <c r="X11" s="12" t="s">
        <v>246</v>
      </c>
      <c r="Z11" s="12" t="s">
        <v>247</v>
      </c>
      <c r="AA11" s="12" t="s">
        <v>248</v>
      </c>
      <c r="AB11" s="12" t="s">
        <v>249</v>
      </c>
      <c r="AC11" s="12" t="s">
        <v>250</v>
      </c>
      <c r="AD11" s="12" t="s">
        <v>251</v>
      </c>
      <c r="AG11" s="12" t="s">
        <v>95</v>
      </c>
      <c r="AH11" s="12" t="s">
        <v>252</v>
      </c>
      <c r="AI11" s="12" t="s">
        <v>253</v>
      </c>
      <c r="AJ11" s="12" t="s">
        <v>71</v>
      </c>
      <c r="AL11" s="12" t="s">
        <v>72</v>
      </c>
      <c r="AM11" s="12" t="s">
        <v>254</v>
      </c>
      <c r="AN11" s="12">
        <v>1</v>
      </c>
      <c r="AO11" s="12" t="s">
        <v>255</v>
      </c>
      <c r="AS11" s="12">
        <v>0</v>
      </c>
      <c r="AT11" s="12">
        <v>0</v>
      </c>
      <c r="AU11" s="12">
        <v>0</v>
      </c>
      <c r="AV11" s="12">
        <v>0</v>
      </c>
      <c r="AW11" s="12">
        <v>0</v>
      </c>
      <c r="AX11" s="12">
        <v>1</v>
      </c>
    </row>
    <row r="12" spans="1:50" s="13" customFormat="1">
      <c r="A12" s="10">
        <v>92</v>
      </c>
      <c r="B12" s="11" t="s">
        <v>75</v>
      </c>
      <c r="C12" s="26" t="s">
        <v>256</v>
      </c>
      <c r="D12" s="26"/>
      <c r="E12" s="26" t="s">
        <v>77</v>
      </c>
      <c r="F12" s="12" t="s">
        <v>257</v>
      </c>
      <c r="G12" s="12" t="s">
        <v>258</v>
      </c>
      <c r="H12" s="12" t="s">
        <v>259</v>
      </c>
      <c r="I12" s="12" t="s">
        <v>260</v>
      </c>
      <c r="J12" s="12">
        <v>2024</v>
      </c>
      <c r="K12" s="12" t="s">
        <v>261</v>
      </c>
      <c r="O12" s="12">
        <v>57</v>
      </c>
      <c r="P12" s="12">
        <v>64</v>
      </c>
      <c r="Q12" s="12">
        <v>7</v>
      </c>
      <c r="R12" s="12">
        <v>1</v>
      </c>
      <c r="S12" s="12" t="s">
        <v>262</v>
      </c>
      <c r="T12" s="12" t="s">
        <v>263</v>
      </c>
      <c r="U12" s="12" t="s">
        <v>264</v>
      </c>
      <c r="V12" s="12" t="s">
        <v>265</v>
      </c>
      <c r="W12" s="12" t="s">
        <v>266</v>
      </c>
      <c r="X12" s="12" t="s">
        <v>267</v>
      </c>
      <c r="Y12" s="12" t="s">
        <v>268</v>
      </c>
      <c r="AB12" s="12" t="s">
        <v>269</v>
      </c>
      <c r="AD12" s="12" t="s">
        <v>270</v>
      </c>
      <c r="AG12" s="12" t="s">
        <v>95</v>
      </c>
      <c r="AH12" s="12" t="s">
        <v>271</v>
      </c>
      <c r="AI12" s="12" t="s">
        <v>253</v>
      </c>
      <c r="AJ12" s="12" t="s">
        <v>71</v>
      </c>
      <c r="AL12" s="12" t="s">
        <v>72</v>
      </c>
      <c r="AM12" s="12" t="s">
        <v>272</v>
      </c>
      <c r="AN12" s="12">
        <v>1</v>
      </c>
      <c r="AO12" s="12" t="s">
        <v>273</v>
      </c>
      <c r="AS12" s="12">
        <v>0</v>
      </c>
      <c r="AT12" s="12">
        <v>0</v>
      </c>
      <c r="AU12" s="12">
        <v>0</v>
      </c>
      <c r="AV12" s="12">
        <v>0</v>
      </c>
      <c r="AW12" s="12">
        <v>0</v>
      </c>
      <c r="AX12" s="12">
        <v>1</v>
      </c>
    </row>
    <row r="13" spans="1:50" s="13" customFormat="1">
      <c r="A13" s="10">
        <v>109</v>
      </c>
      <c r="B13" s="11" t="s">
        <v>75</v>
      </c>
      <c r="C13" s="26" t="s">
        <v>274</v>
      </c>
      <c r="D13" s="26"/>
      <c r="E13" s="26" t="s">
        <v>77</v>
      </c>
      <c r="F13" s="12" t="s">
        <v>275</v>
      </c>
      <c r="G13" s="12" t="s">
        <v>276</v>
      </c>
      <c r="H13" s="12" t="s">
        <v>277</v>
      </c>
      <c r="I13" s="12" t="s">
        <v>278</v>
      </c>
      <c r="J13" s="12">
        <v>2024</v>
      </c>
      <c r="K13" s="12" t="s">
        <v>279</v>
      </c>
      <c r="O13" s="12">
        <v>182</v>
      </c>
      <c r="P13" s="12">
        <v>193</v>
      </c>
      <c r="Q13" s="12">
        <v>11</v>
      </c>
      <c r="R13" s="12">
        <v>1</v>
      </c>
      <c r="S13" s="12" t="s">
        <v>280</v>
      </c>
      <c r="T13" s="12" t="s">
        <v>281</v>
      </c>
      <c r="U13" s="12" t="s">
        <v>282</v>
      </c>
      <c r="V13" s="12" t="s">
        <v>283</v>
      </c>
      <c r="W13" s="12" t="s">
        <v>284</v>
      </c>
      <c r="X13" s="12" t="s">
        <v>285</v>
      </c>
      <c r="Y13" s="12" t="s">
        <v>286</v>
      </c>
      <c r="AB13" s="12" t="s">
        <v>137</v>
      </c>
      <c r="AD13" s="12" t="s">
        <v>287</v>
      </c>
      <c r="AG13" s="12" t="s">
        <v>95</v>
      </c>
      <c r="AH13" s="12" t="s">
        <v>288</v>
      </c>
      <c r="AI13" s="12" t="s">
        <v>253</v>
      </c>
      <c r="AJ13" s="12" t="s">
        <v>71</v>
      </c>
      <c r="AL13" s="12" t="s">
        <v>72</v>
      </c>
      <c r="AM13" s="12" t="s">
        <v>289</v>
      </c>
      <c r="AN13" s="12">
        <v>1</v>
      </c>
      <c r="AO13" s="12" t="s">
        <v>290</v>
      </c>
      <c r="AS13" s="12">
        <v>0</v>
      </c>
      <c r="AT13" s="12">
        <v>0</v>
      </c>
      <c r="AU13" s="12">
        <v>0</v>
      </c>
      <c r="AV13" s="12">
        <v>0</v>
      </c>
      <c r="AW13" s="12">
        <v>0</v>
      </c>
      <c r="AX13" s="12">
        <v>1</v>
      </c>
    </row>
    <row r="14" spans="1:50" s="17" customFormat="1">
      <c r="A14" s="14">
        <v>115</v>
      </c>
      <c r="B14" s="15" t="s">
        <v>75</v>
      </c>
      <c r="C14" s="27"/>
      <c r="D14" s="27" t="s">
        <v>291</v>
      </c>
      <c r="E14" s="27"/>
      <c r="F14" s="16" t="s">
        <v>292</v>
      </c>
      <c r="G14" s="16" t="s">
        <v>293</v>
      </c>
      <c r="H14" s="16" t="s">
        <v>294</v>
      </c>
      <c r="I14" s="16" t="s">
        <v>295</v>
      </c>
      <c r="J14" s="16">
        <v>2024</v>
      </c>
      <c r="K14" s="16" t="s">
        <v>296</v>
      </c>
      <c r="R14" s="16">
        <v>0</v>
      </c>
      <c r="S14" s="16" t="s">
        <v>297</v>
      </c>
      <c r="T14" s="16" t="s">
        <v>298</v>
      </c>
      <c r="U14" s="16" t="s">
        <v>299</v>
      </c>
      <c r="V14" s="16" t="s">
        <v>300</v>
      </c>
      <c r="W14" s="16" t="s">
        <v>301</v>
      </c>
      <c r="X14" s="16" t="s">
        <v>302</v>
      </c>
      <c r="Y14" s="16" t="s">
        <v>303</v>
      </c>
      <c r="Z14" s="16" t="s">
        <v>304</v>
      </c>
      <c r="AA14" s="16" t="s">
        <v>305</v>
      </c>
      <c r="AB14" s="16" t="s">
        <v>137</v>
      </c>
      <c r="AD14" s="16" t="s">
        <v>306</v>
      </c>
      <c r="AG14" s="16" t="s">
        <v>95</v>
      </c>
      <c r="AH14" s="16" t="s">
        <v>307</v>
      </c>
      <c r="AI14" s="16" t="s">
        <v>253</v>
      </c>
      <c r="AJ14" s="16" t="s">
        <v>71</v>
      </c>
      <c r="AL14" s="16" t="s">
        <v>72</v>
      </c>
      <c r="AM14" s="16" t="s">
        <v>308</v>
      </c>
      <c r="AN14" s="16">
        <v>1</v>
      </c>
      <c r="AO14" s="16" t="s">
        <v>309</v>
      </c>
      <c r="AS14" s="16">
        <v>0</v>
      </c>
      <c r="AT14" s="16">
        <v>0</v>
      </c>
      <c r="AU14" s="16">
        <v>0</v>
      </c>
      <c r="AV14" s="16">
        <v>0</v>
      </c>
      <c r="AW14" s="16">
        <v>1</v>
      </c>
      <c r="AX14" s="16">
        <v>0</v>
      </c>
    </row>
    <row r="15" spans="1:50" s="13" customFormat="1" ht="16">
      <c r="A15" s="10">
        <v>116</v>
      </c>
      <c r="B15" s="11" t="s">
        <v>75</v>
      </c>
      <c r="C15" s="85" t="s">
        <v>310</v>
      </c>
      <c r="D15" s="26"/>
      <c r="E15" s="26" t="s">
        <v>77</v>
      </c>
      <c r="F15" s="12" t="s">
        <v>311</v>
      </c>
      <c r="G15" s="12" t="s">
        <v>312</v>
      </c>
      <c r="H15" s="12" t="s">
        <v>313</v>
      </c>
      <c r="I15" s="12" t="s">
        <v>314</v>
      </c>
      <c r="J15" s="12">
        <v>2024</v>
      </c>
      <c r="K15" s="12" t="s">
        <v>315</v>
      </c>
      <c r="O15" s="12">
        <v>301</v>
      </c>
      <c r="P15" s="12">
        <v>306</v>
      </c>
      <c r="Q15" s="12">
        <v>5</v>
      </c>
      <c r="R15" s="12">
        <v>2</v>
      </c>
      <c r="S15" s="12" t="s">
        <v>316</v>
      </c>
      <c r="T15" s="12" t="s">
        <v>317</v>
      </c>
      <c r="U15" s="12" t="s">
        <v>318</v>
      </c>
      <c r="V15" s="12" t="s">
        <v>319</v>
      </c>
      <c r="W15" s="12" t="s">
        <v>320</v>
      </c>
      <c r="Y15" s="12" t="s">
        <v>321</v>
      </c>
      <c r="Z15" s="12" t="s">
        <v>322</v>
      </c>
      <c r="AB15" s="12" t="s">
        <v>137</v>
      </c>
      <c r="AD15" s="12" t="s">
        <v>323</v>
      </c>
      <c r="AG15" s="12" t="s">
        <v>95</v>
      </c>
      <c r="AH15" s="12" t="s">
        <v>324</v>
      </c>
      <c r="AI15" s="12" t="s">
        <v>253</v>
      </c>
      <c r="AJ15" s="12" t="s">
        <v>71</v>
      </c>
      <c r="AL15" s="12" t="s">
        <v>72</v>
      </c>
      <c r="AM15" s="12" t="s">
        <v>325</v>
      </c>
      <c r="AN15" s="12">
        <v>1</v>
      </c>
      <c r="AO15" s="12" t="s">
        <v>326</v>
      </c>
      <c r="AS15" s="12">
        <v>0</v>
      </c>
      <c r="AT15" s="12">
        <v>0</v>
      </c>
      <c r="AU15" s="12">
        <v>0</v>
      </c>
      <c r="AV15" s="12">
        <v>0</v>
      </c>
      <c r="AW15" s="12">
        <v>1</v>
      </c>
      <c r="AX15" s="12">
        <v>1</v>
      </c>
    </row>
    <row r="16" spans="1:50" s="17" customFormat="1">
      <c r="A16" s="14">
        <v>117</v>
      </c>
      <c r="B16" s="15" t="s">
        <v>75</v>
      </c>
      <c r="C16" s="27"/>
      <c r="D16" s="27" t="s">
        <v>327</v>
      </c>
      <c r="E16" s="27"/>
      <c r="F16" s="16" t="s">
        <v>328</v>
      </c>
      <c r="G16" s="16" t="s">
        <v>329</v>
      </c>
      <c r="H16" s="16" t="s">
        <v>330</v>
      </c>
      <c r="I16" s="16" t="s">
        <v>331</v>
      </c>
      <c r="J16" s="16">
        <v>2023</v>
      </c>
      <c r="K16" s="16" t="s">
        <v>332</v>
      </c>
      <c r="O16" s="16">
        <v>36</v>
      </c>
      <c r="P16" s="16">
        <v>47</v>
      </c>
      <c r="Q16" s="16">
        <v>11</v>
      </c>
      <c r="R16" s="16">
        <v>1</v>
      </c>
      <c r="S16" s="16" t="s">
        <v>333</v>
      </c>
      <c r="T16" s="16" t="s">
        <v>334</v>
      </c>
      <c r="U16" s="16" t="s">
        <v>335</v>
      </c>
      <c r="V16" s="16" t="s">
        <v>336</v>
      </c>
      <c r="W16" s="16" t="s">
        <v>337</v>
      </c>
      <c r="X16" s="16" t="s">
        <v>338</v>
      </c>
      <c r="Y16" s="16" t="s">
        <v>339</v>
      </c>
      <c r="AB16" s="16" t="s">
        <v>269</v>
      </c>
      <c r="AD16" s="16" t="s">
        <v>340</v>
      </c>
      <c r="AG16" s="16" t="s">
        <v>95</v>
      </c>
      <c r="AH16" s="16" t="s">
        <v>341</v>
      </c>
      <c r="AI16" s="16" t="s">
        <v>253</v>
      </c>
      <c r="AJ16" s="16" t="s">
        <v>71</v>
      </c>
      <c r="AK16" s="16" t="s">
        <v>97</v>
      </c>
      <c r="AL16" s="16" t="s">
        <v>72</v>
      </c>
      <c r="AM16" s="16" t="s">
        <v>342</v>
      </c>
      <c r="AN16" s="16">
        <v>1</v>
      </c>
      <c r="AO16" s="16" t="s">
        <v>343</v>
      </c>
      <c r="AS16" s="16">
        <v>0</v>
      </c>
      <c r="AT16" s="16">
        <v>0</v>
      </c>
      <c r="AU16" s="16">
        <v>0</v>
      </c>
      <c r="AV16" s="16">
        <v>0</v>
      </c>
      <c r="AW16" s="16">
        <v>0</v>
      </c>
      <c r="AX16" s="16">
        <v>1</v>
      </c>
    </row>
    <row r="17" spans="1:50" s="13" customFormat="1">
      <c r="A17" s="10">
        <v>119</v>
      </c>
      <c r="B17" s="11" t="s">
        <v>75</v>
      </c>
      <c r="C17" s="26" t="s">
        <v>344</v>
      </c>
      <c r="D17" s="26"/>
      <c r="E17" s="26" t="s">
        <v>77</v>
      </c>
      <c r="F17" s="12" t="s">
        <v>345</v>
      </c>
      <c r="G17" s="12" t="s">
        <v>346</v>
      </c>
      <c r="H17" s="12" t="s">
        <v>347</v>
      </c>
      <c r="I17" s="12" t="s">
        <v>348</v>
      </c>
      <c r="J17" s="12">
        <v>2024</v>
      </c>
      <c r="K17" s="12" t="s">
        <v>349</v>
      </c>
      <c r="R17" s="12">
        <v>0</v>
      </c>
      <c r="S17" s="12" t="s">
        <v>350</v>
      </c>
      <c r="T17" s="12" t="s">
        <v>351</v>
      </c>
      <c r="U17" s="12" t="s">
        <v>352</v>
      </c>
      <c r="V17" s="12" t="s">
        <v>353</v>
      </c>
      <c r="W17" s="12" t="s">
        <v>354</v>
      </c>
      <c r="X17" s="12" t="s">
        <v>355</v>
      </c>
      <c r="Y17" s="12" t="s">
        <v>356</v>
      </c>
      <c r="AB17" s="12" t="s">
        <v>137</v>
      </c>
      <c r="AD17" s="12" t="s">
        <v>357</v>
      </c>
      <c r="AG17" s="12" t="s">
        <v>95</v>
      </c>
      <c r="AH17" s="12" t="s">
        <v>358</v>
      </c>
      <c r="AI17" s="12" t="s">
        <v>253</v>
      </c>
      <c r="AJ17" s="12" t="s">
        <v>71</v>
      </c>
      <c r="AL17" s="12" t="s">
        <v>72</v>
      </c>
      <c r="AM17" s="12" t="s">
        <v>359</v>
      </c>
      <c r="AN17" s="12">
        <v>1</v>
      </c>
      <c r="AO17" s="12" t="s">
        <v>360</v>
      </c>
      <c r="AS17" s="12">
        <v>0</v>
      </c>
      <c r="AT17" s="12">
        <v>0</v>
      </c>
      <c r="AU17" s="12">
        <v>0</v>
      </c>
      <c r="AV17" s="12">
        <v>0</v>
      </c>
      <c r="AW17" s="12">
        <v>0</v>
      </c>
      <c r="AX17" s="12">
        <v>1</v>
      </c>
    </row>
    <row r="18" spans="1:50" s="13" customFormat="1">
      <c r="A18" s="10">
        <v>125</v>
      </c>
      <c r="B18" s="11" t="s">
        <v>75</v>
      </c>
      <c r="C18" s="26" t="s">
        <v>361</v>
      </c>
      <c r="D18" s="26"/>
      <c r="E18" s="26" t="s">
        <v>77</v>
      </c>
      <c r="F18" s="12" t="s">
        <v>362</v>
      </c>
      <c r="G18" s="12" t="s">
        <v>363</v>
      </c>
      <c r="H18" s="12" t="s">
        <v>364</v>
      </c>
      <c r="I18" s="12" t="s">
        <v>365</v>
      </c>
      <c r="J18" s="12">
        <v>2024</v>
      </c>
      <c r="K18" s="12" t="s">
        <v>366</v>
      </c>
      <c r="R18" s="12">
        <v>0</v>
      </c>
      <c r="S18" s="12" t="s">
        <v>367</v>
      </c>
      <c r="T18" s="12" t="s">
        <v>368</v>
      </c>
      <c r="U18" s="12" t="s">
        <v>369</v>
      </c>
      <c r="V18" s="12" t="s">
        <v>370</v>
      </c>
      <c r="W18" s="12" t="s">
        <v>371</v>
      </c>
      <c r="X18" s="12" t="s">
        <v>372</v>
      </c>
      <c r="Y18" s="12" t="s">
        <v>373</v>
      </c>
      <c r="AB18" s="12" t="s">
        <v>137</v>
      </c>
      <c r="AD18" s="12" t="s">
        <v>374</v>
      </c>
      <c r="AG18" s="12" t="s">
        <v>95</v>
      </c>
      <c r="AH18" s="12" t="s">
        <v>375</v>
      </c>
      <c r="AI18" s="12" t="s">
        <v>253</v>
      </c>
      <c r="AJ18" s="12" t="s">
        <v>71</v>
      </c>
      <c r="AL18" s="12" t="s">
        <v>72</v>
      </c>
      <c r="AM18" s="12" t="s">
        <v>376</v>
      </c>
      <c r="AN18" s="12">
        <v>1</v>
      </c>
      <c r="AO18" s="12" t="s">
        <v>377</v>
      </c>
      <c r="AS18" s="12">
        <v>0</v>
      </c>
      <c r="AT18" s="12">
        <v>0</v>
      </c>
      <c r="AU18" s="12">
        <v>0</v>
      </c>
      <c r="AV18" s="12">
        <v>0</v>
      </c>
      <c r="AW18" s="12">
        <v>0</v>
      </c>
      <c r="AX18" s="12">
        <v>1</v>
      </c>
    </row>
    <row r="19" spans="1:50" s="13" customFormat="1" ht="16">
      <c r="A19" s="10">
        <v>126</v>
      </c>
      <c r="B19" s="11" t="s">
        <v>75</v>
      </c>
      <c r="C19" s="85" t="s">
        <v>378</v>
      </c>
      <c r="D19" s="26"/>
      <c r="E19" s="26" t="s">
        <v>77</v>
      </c>
      <c r="F19" s="12" t="s">
        <v>379</v>
      </c>
      <c r="G19" s="12" t="s">
        <v>380</v>
      </c>
      <c r="H19" s="12" t="s">
        <v>381</v>
      </c>
      <c r="I19" s="12" t="s">
        <v>382</v>
      </c>
      <c r="J19" s="12">
        <v>2024</v>
      </c>
      <c r="K19" s="12" t="s">
        <v>383</v>
      </c>
      <c r="O19" s="12">
        <v>7103</v>
      </c>
      <c r="P19" s="12">
        <v>7122</v>
      </c>
      <c r="Q19" s="12">
        <v>19</v>
      </c>
      <c r="R19" s="12">
        <v>7</v>
      </c>
      <c r="T19" s="12" t="s">
        <v>384</v>
      </c>
      <c r="U19" s="12" t="s">
        <v>385</v>
      </c>
      <c r="V19" s="12" t="s">
        <v>386</v>
      </c>
      <c r="W19" s="12" t="s">
        <v>387</v>
      </c>
      <c r="Y19" s="12" t="s">
        <v>388</v>
      </c>
      <c r="AB19" s="12" t="s">
        <v>389</v>
      </c>
      <c r="AD19" s="12" t="s">
        <v>390</v>
      </c>
      <c r="AG19" s="12" t="s">
        <v>95</v>
      </c>
      <c r="AH19" s="12" t="s">
        <v>391</v>
      </c>
      <c r="AI19" s="12" t="s">
        <v>253</v>
      </c>
      <c r="AJ19" s="12" t="s">
        <v>71</v>
      </c>
      <c r="AL19" s="12" t="s">
        <v>72</v>
      </c>
      <c r="AM19" s="12" t="s">
        <v>392</v>
      </c>
      <c r="AN19" s="12">
        <v>1</v>
      </c>
      <c r="AO19" s="12" t="s">
        <v>393</v>
      </c>
      <c r="AQ19" s="12">
        <v>1</v>
      </c>
      <c r="AR19" s="12">
        <v>1</v>
      </c>
      <c r="AS19" s="12">
        <v>0</v>
      </c>
      <c r="AT19" s="12">
        <v>0</v>
      </c>
      <c r="AU19" s="12">
        <v>0</v>
      </c>
      <c r="AV19" s="12">
        <v>0</v>
      </c>
    </row>
    <row r="20" spans="1:50" s="13" customFormat="1">
      <c r="A20" s="10">
        <v>145</v>
      </c>
      <c r="B20" s="11" t="s">
        <v>75</v>
      </c>
      <c r="C20" s="26" t="s">
        <v>361</v>
      </c>
      <c r="D20" s="26"/>
      <c r="E20" s="26" t="s">
        <v>77</v>
      </c>
      <c r="F20" s="12" t="s">
        <v>394</v>
      </c>
      <c r="G20" s="12" t="s">
        <v>395</v>
      </c>
      <c r="H20" s="12" t="s">
        <v>396</v>
      </c>
      <c r="I20" s="12" t="s">
        <v>397</v>
      </c>
      <c r="J20" s="12">
        <v>2023</v>
      </c>
      <c r="K20" s="12" t="s">
        <v>105</v>
      </c>
      <c r="L20" s="12" t="s">
        <v>398</v>
      </c>
      <c r="N20" s="12" t="s">
        <v>399</v>
      </c>
      <c r="R20" s="12">
        <v>4</v>
      </c>
      <c r="S20" s="12" t="s">
        <v>400</v>
      </c>
      <c r="T20" s="12" t="s">
        <v>401</v>
      </c>
      <c r="U20" s="12" t="s">
        <v>402</v>
      </c>
      <c r="V20" s="12" t="s">
        <v>403</v>
      </c>
      <c r="W20" s="12" t="s">
        <v>404</v>
      </c>
      <c r="X20" s="12" t="s">
        <v>405</v>
      </c>
      <c r="Y20" s="12" t="s">
        <v>406</v>
      </c>
      <c r="Z20" s="12" t="s">
        <v>407</v>
      </c>
      <c r="AB20" s="12" t="s">
        <v>116</v>
      </c>
      <c r="AC20" s="12" t="s">
        <v>117</v>
      </c>
      <c r="AE20" s="12" t="s">
        <v>118</v>
      </c>
      <c r="AG20" s="12" t="s">
        <v>95</v>
      </c>
      <c r="AH20" s="12" t="s">
        <v>119</v>
      </c>
      <c r="AI20" s="12" t="s">
        <v>70</v>
      </c>
      <c r="AJ20" s="12" t="s">
        <v>71</v>
      </c>
      <c r="AK20" s="12" t="s">
        <v>408</v>
      </c>
      <c r="AL20" s="12" t="s">
        <v>72</v>
      </c>
      <c r="AM20" s="12" t="s">
        <v>409</v>
      </c>
      <c r="AN20" s="12">
        <v>1</v>
      </c>
      <c r="AO20" s="12" t="s">
        <v>410</v>
      </c>
      <c r="AS20" s="12">
        <v>0</v>
      </c>
      <c r="AT20" s="12">
        <v>0</v>
      </c>
      <c r="AU20" s="12">
        <v>0</v>
      </c>
      <c r="AV20" s="12">
        <v>0</v>
      </c>
      <c r="AW20" s="12">
        <v>0</v>
      </c>
      <c r="AX20" s="12">
        <v>1</v>
      </c>
    </row>
    <row r="21" spans="1:50" s="13" customFormat="1" ht="15.75" customHeight="1">
      <c r="A21" s="10">
        <v>154</v>
      </c>
      <c r="B21" s="11" t="s">
        <v>75</v>
      </c>
      <c r="C21" s="26" t="s">
        <v>361</v>
      </c>
      <c r="D21" s="26"/>
      <c r="E21" s="26" t="s">
        <v>77</v>
      </c>
      <c r="F21" s="12" t="s">
        <v>411</v>
      </c>
      <c r="G21" s="12" t="s">
        <v>412</v>
      </c>
      <c r="H21" s="12" t="s">
        <v>413</v>
      </c>
      <c r="I21" s="12" t="s">
        <v>414</v>
      </c>
      <c r="J21" s="12">
        <v>2024</v>
      </c>
      <c r="K21" s="12" t="s">
        <v>415</v>
      </c>
      <c r="O21" s="12">
        <v>145</v>
      </c>
      <c r="P21" s="12">
        <v>154</v>
      </c>
      <c r="Q21" s="12">
        <v>9</v>
      </c>
      <c r="R21" s="12">
        <v>0</v>
      </c>
      <c r="S21" s="12" t="s">
        <v>416</v>
      </c>
      <c r="T21" s="12" t="s">
        <v>417</v>
      </c>
      <c r="U21" s="12" t="s">
        <v>418</v>
      </c>
      <c r="V21" s="12" t="s">
        <v>419</v>
      </c>
      <c r="W21" s="12" t="s">
        <v>420</v>
      </c>
      <c r="X21" s="12" t="s">
        <v>421</v>
      </c>
      <c r="Y21" s="12" t="s">
        <v>422</v>
      </c>
      <c r="Z21" s="12" t="s">
        <v>423</v>
      </c>
      <c r="AB21" s="12" t="s">
        <v>137</v>
      </c>
      <c r="AD21" s="12" t="s">
        <v>424</v>
      </c>
      <c r="AG21" s="12" t="s">
        <v>95</v>
      </c>
      <c r="AH21" s="12" t="s">
        <v>425</v>
      </c>
      <c r="AI21" s="12" t="s">
        <v>253</v>
      </c>
      <c r="AJ21" s="12" t="s">
        <v>71</v>
      </c>
      <c r="AL21" s="12" t="s">
        <v>72</v>
      </c>
      <c r="AM21" s="12" t="s">
        <v>426</v>
      </c>
      <c r="AN21" s="12">
        <v>1</v>
      </c>
      <c r="AO21" s="12" t="s">
        <v>427</v>
      </c>
      <c r="AS21" s="12">
        <v>0</v>
      </c>
      <c r="AT21" s="12">
        <v>0</v>
      </c>
      <c r="AU21" s="12">
        <v>0</v>
      </c>
      <c r="AV21" s="12">
        <v>0</v>
      </c>
      <c r="AW21" s="12">
        <v>0</v>
      </c>
      <c r="AX21" s="12">
        <v>1</v>
      </c>
    </row>
    <row r="22" spans="1:50" s="17" customFormat="1" ht="15.75" customHeight="1">
      <c r="A22" s="14">
        <v>170</v>
      </c>
      <c r="B22" s="15" t="s">
        <v>75</v>
      </c>
      <c r="C22" s="27"/>
      <c r="D22" s="9" t="s">
        <v>428</v>
      </c>
      <c r="E22" s="9"/>
      <c r="F22" s="16" t="s">
        <v>429</v>
      </c>
      <c r="G22" s="16" t="s">
        <v>430</v>
      </c>
      <c r="H22" s="16" t="s">
        <v>431</v>
      </c>
      <c r="I22" s="16" t="s">
        <v>432</v>
      </c>
      <c r="J22" s="16">
        <v>2024</v>
      </c>
      <c r="K22" s="16" t="s">
        <v>433</v>
      </c>
      <c r="L22" s="16" t="s">
        <v>434</v>
      </c>
      <c r="O22" s="16">
        <v>7824</v>
      </c>
      <c r="P22" s="16">
        <v>7840</v>
      </c>
      <c r="Q22" s="16">
        <v>16</v>
      </c>
      <c r="R22" s="16">
        <v>7</v>
      </c>
      <c r="S22" s="16" t="s">
        <v>435</v>
      </c>
      <c r="T22" s="16" t="s">
        <v>436</v>
      </c>
      <c r="U22" s="16" t="s">
        <v>437</v>
      </c>
      <c r="V22" s="16" t="s">
        <v>438</v>
      </c>
      <c r="W22" s="16" t="s">
        <v>439</v>
      </c>
      <c r="X22" s="16" t="s">
        <v>440</v>
      </c>
      <c r="Y22" s="16" t="s">
        <v>441</v>
      </c>
      <c r="Z22" s="16" t="s">
        <v>442</v>
      </c>
      <c r="AB22" s="16" t="s">
        <v>137</v>
      </c>
      <c r="AC22" s="16" t="s">
        <v>443</v>
      </c>
      <c r="AG22" s="16" t="s">
        <v>95</v>
      </c>
      <c r="AH22" s="16" t="s">
        <v>444</v>
      </c>
      <c r="AI22" s="16" t="s">
        <v>70</v>
      </c>
      <c r="AJ22" s="16" t="s">
        <v>71</v>
      </c>
      <c r="AL22" s="16" t="s">
        <v>72</v>
      </c>
      <c r="AM22" s="16" t="s">
        <v>445</v>
      </c>
      <c r="AN22" s="16">
        <v>1</v>
      </c>
      <c r="AO22" s="16" t="s">
        <v>446</v>
      </c>
      <c r="AS22" s="16">
        <v>0</v>
      </c>
      <c r="AT22" s="16">
        <v>0</v>
      </c>
      <c r="AU22" s="16">
        <v>0</v>
      </c>
      <c r="AV22" s="16">
        <v>0</v>
      </c>
      <c r="AW22" s="16">
        <v>0</v>
      </c>
      <c r="AX22" s="16">
        <v>1</v>
      </c>
    </row>
    <row r="23" spans="1:50" s="13" customFormat="1" ht="15.75" customHeight="1">
      <c r="A23" s="10">
        <v>172</v>
      </c>
      <c r="B23" s="11" t="s">
        <v>75</v>
      </c>
      <c r="C23" s="26" t="s">
        <v>447</v>
      </c>
      <c r="D23" s="26"/>
      <c r="E23" s="26" t="s">
        <v>77</v>
      </c>
      <c r="F23" s="12" t="s">
        <v>448</v>
      </c>
      <c r="G23" s="12" t="s">
        <v>449</v>
      </c>
      <c r="H23" s="12" t="s">
        <v>450</v>
      </c>
      <c r="I23" s="12" t="s">
        <v>451</v>
      </c>
      <c r="J23" s="12">
        <v>2024</v>
      </c>
      <c r="K23" s="12" t="s">
        <v>452</v>
      </c>
      <c r="O23" s="12">
        <v>3725</v>
      </c>
      <c r="P23" s="12">
        <v>3732</v>
      </c>
      <c r="Q23" s="12">
        <v>7</v>
      </c>
      <c r="R23" s="12">
        <v>0</v>
      </c>
      <c r="S23" s="12" t="s">
        <v>453</v>
      </c>
      <c r="T23" s="12" t="s">
        <v>454</v>
      </c>
      <c r="U23" s="12" t="s">
        <v>455</v>
      </c>
      <c r="V23" s="12" t="s">
        <v>456</v>
      </c>
      <c r="W23" s="12" t="s">
        <v>457</v>
      </c>
      <c r="Y23" s="12" t="s">
        <v>458</v>
      </c>
      <c r="Z23" s="12" t="s">
        <v>459</v>
      </c>
      <c r="AB23" s="12" t="s">
        <v>460</v>
      </c>
      <c r="AC23" s="12" t="s">
        <v>461</v>
      </c>
      <c r="AD23" s="12" t="s">
        <v>462</v>
      </c>
      <c r="AG23" s="12" t="s">
        <v>95</v>
      </c>
      <c r="AH23" s="12" t="s">
        <v>463</v>
      </c>
      <c r="AI23" s="12" t="s">
        <v>253</v>
      </c>
      <c r="AJ23" s="12" t="s">
        <v>71</v>
      </c>
      <c r="AL23" s="12" t="s">
        <v>72</v>
      </c>
      <c r="AM23" s="12" t="s">
        <v>464</v>
      </c>
      <c r="AN23" s="12">
        <v>1</v>
      </c>
      <c r="AO23" s="12" t="s">
        <v>465</v>
      </c>
      <c r="AQ23" s="12">
        <v>0</v>
      </c>
      <c r="AR23" s="12">
        <v>1</v>
      </c>
      <c r="AS23" s="12">
        <v>0</v>
      </c>
      <c r="AT23" s="12">
        <v>0</v>
      </c>
      <c r="AU23" s="12">
        <v>0</v>
      </c>
      <c r="AV23" s="12">
        <v>0</v>
      </c>
    </row>
    <row r="24" spans="1:50" s="17" customFormat="1" ht="15.75" customHeight="1">
      <c r="A24" s="14">
        <v>200</v>
      </c>
      <c r="B24" s="15" t="s">
        <v>466</v>
      </c>
      <c r="C24" s="27"/>
      <c r="D24" s="27" t="s">
        <v>467</v>
      </c>
      <c r="E24" s="27"/>
      <c r="F24" s="16" t="s">
        <v>468</v>
      </c>
      <c r="G24" s="16" t="s">
        <v>469</v>
      </c>
      <c r="H24" s="16" t="s">
        <v>470</v>
      </c>
      <c r="I24" s="16" t="s">
        <v>471</v>
      </c>
      <c r="J24" s="16">
        <v>2023</v>
      </c>
      <c r="K24" s="16" t="s">
        <v>472</v>
      </c>
      <c r="L24" s="16" t="s">
        <v>434</v>
      </c>
      <c r="M24" s="16" t="s">
        <v>473</v>
      </c>
      <c r="O24" s="16">
        <v>405</v>
      </c>
      <c r="P24" s="16">
        <v>431</v>
      </c>
      <c r="Q24" s="16">
        <v>26</v>
      </c>
      <c r="R24" s="16">
        <v>2</v>
      </c>
      <c r="S24" s="16" t="s">
        <v>474</v>
      </c>
      <c r="T24" s="16" t="s">
        <v>475</v>
      </c>
      <c r="U24" s="16" t="s">
        <v>476</v>
      </c>
      <c r="V24" s="16" t="s">
        <v>477</v>
      </c>
      <c r="W24" s="16" t="s">
        <v>478</v>
      </c>
      <c r="X24" s="16" t="s">
        <v>479</v>
      </c>
      <c r="Y24" s="16" t="s">
        <v>480</v>
      </c>
      <c r="Z24" s="16" t="s">
        <v>481</v>
      </c>
      <c r="AB24" s="16" t="s">
        <v>482</v>
      </c>
      <c r="AC24" s="16" t="s">
        <v>483</v>
      </c>
      <c r="AG24" s="16" t="s">
        <v>95</v>
      </c>
      <c r="AH24" s="16" t="s">
        <v>484</v>
      </c>
      <c r="AI24" s="16" t="s">
        <v>70</v>
      </c>
      <c r="AJ24" s="16" t="s">
        <v>71</v>
      </c>
      <c r="AL24" s="16" t="s">
        <v>72</v>
      </c>
      <c r="AM24" s="16" t="s">
        <v>485</v>
      </c>
      <c r="AN24" s="16">
        <v>1</v>
      </c>
      <c r="AO24" s="16" t="s">
        <v>486</v>
      </c>
      <c r="AS24" s="16">
        <v>0</v>
      </c>
      <c r="AT24" s="16">
        <v>0</v>
      </c>
      <c r="AU24" s="16">
        <v>0</v>
      </c>
      <c r="AV24" s="16">
        <v>0</v>
      </c>
      <c r="AW24" s="16">
        <v>1</v>
      </c>
      <c r="AX24" s="16">
        <v>0</v>
      </c>
    </row>
    <row r="25" spans="1:50" s="13" customFormat="1" ht="15.75" customHeight="1">
      <c r="A25" s="10">
        <v>203</v>
      </c>
      <c r="B25" s="11" t="s">
        <v>75</v>
      </c>
      <c r="C25" s="26" t="s">
        <v>487</v>
      </c>
      <c r="D25" s="26"/>
      <c r="E25" s="26" t="s">
        <v>77</v>
      </c>
      <c r="F25" s="12" t="s">
        <v>488</v>
      </c>
      <c r="G25" s="12" t="s">
        <v>489</v>
      </c>
      <c r="H25" s="12" t="s">
        <v>490</v>
      </c>
      <c r="I25" s="12" t="s">
        <v>491</v>
      </c>
      <c r="J25" s="12">
        <v>2023</v>
      </c>
      <c r="K25" s="12" t="s">
        <v>492</v>
      </c>
      <c r="L25" s="12" t="s">
        <v>493</v>
      </c>
      <c r="R25" s="12">
        <v>1</v>
      </c>
      <c r="S25" s="12" t="s">
        <v>494</v>
      </c>
      <c r="T25" s="12" t="s">
        <v>495</v>
      </c>
      <c r="U25" s="12" t="s">
        <v>496</v>
      </c>
      <c r="V25" s="12" t="s">
        <v>497</v>
      </c>
      <c r="W25" s="12" t="s">
        <v>498</v>
      </c>
      <c r="X25" s="12" t="s">
        <v>499</v>
      </c>
      <c r="Y25" s="12" t="s">
        <v>500</v>
      </c>
      <c r="Z25" s="12" t="s">
        <v>501</v>
      </c>
      <c r="AA25" s="12" t="s">
        <v>502</v>
      </c>
      <c r="AB25" s="12" t="s">
        <v>137</v>
      </c>
      <c r="AC25" s="12" t="s">
        <v>503</v>
      </c>
      <c r="AD25" s="12" t="s">
        <v>504</v>
      </c>
      <c r="AG25" s="12" t="s">
        <v>95</v>
      </c>
      <c r="AH25" s="12" t="s">
        <v>505</v>
      </c>
      <c r="AI25" s="12" t="s">
        <v>253</v>
      </c>
      <c r="AJ25" s="12" t="s">
        <v>71</v>
      </c>
      <c r="AL25" s="12" t="s">
        <v>72</v>
      </c>
      <c r="AM25" s="12" t="s">
        <v>506</v>
      </c>
      <c r="AN25" s="12">
        <v>1</v>
      </c>
      <c r="AO25" s="12" t="s">
        <v>507</v>
      </c>
      <c r="AS25" s="12">
        <v>0</v>
      </c>
      <c r="AT25" s="12">
        <v>0</v>
      </c>
      <c r="AU25" s="12">
        <v>0</v>
      </c>
      <c r="AV25" s="12">
        <v>0</v>
      </c>
      <c r="AW25" s="12">
        <v>0</v>
      </c>
      <c r="AX25" s="12">
        <v>1</v>
      </c>
    </row>
    <row r="26" spans="1:50" s="17" customFormat="1" ht="15.75" customHeight="1">
      <c r="A26" s="14">
        <v>212</v>
      </c>
      <c r="B26" s="15" t="s">
        <v>75</v>
      </c>
      <c r="C26" s="27"/>
      <c r="D26" s="28" t="s">
        <v>428</v>
      </c>
      <c r="E26" s="28"/>
      <c r="F26" s="16" t="s">
        <v>508</v>
      </c>
      <c r="G26" s="16" t="s">
        <v>509</v>
      </c>
      <c r="H26" s="16" t="s">
        <v>510</v>
      </c>
      <c r="I26" s="16" t="s">
        <v>511</v>
      </c>
      <c r="J26" s="16">
        <v>2023</v>
      </c>
      <c r="K26" s="16" t="s">
        <v>512</v>
      </c>
      <c r="L26" s="16" t="s">
        <v>513</v>
      </c>
      <c r="O26" s="16">
        <v>323</v>
      </c>
      <c r="P26" s="16">
        <v>336</v>
      </c>
      <c r="Q26" s="16">
        <v>13</v>
      </c>
      <c r="R26" s="16">
        <v>1</v>
      </c>
      <c r="S26" s="16" t="s">
        <v>514</v>
      </c>
      <c r="T26" s="16" t="s">
        <v>515</v>
      </c>
      <c r="U26" s="16" t="s">
        <v>516</v>
      </c>
      <c r="V26" s="16" t="s">
        <v>517</v>
      </c>
      <c r="W26" s="16" t="s">
        <v>518</v>
      </c>
      <c r="X26" s="16" t="s">
        <v>519</v>
      </c>
      <c r="Y26" s="16" t="s">
        <v>520</v>
      </c>
      <c r="Z26" s="16" t="s">
        <v>521</v>
      </c>
      <c r="AA26" s="16" t="s">
        <v>522</v>
      </c>
      <c r="AB26" s="16" t="s">
        <v>523</v>
      </c>
      <c r="AC26" s="16" t="s">
        <v>524</v>
      </c>
      <c r="AD26" s="16" t="s">
        <v>525</v>
      </c>
      <c r="AG26" s="16" t="s">
        <v>95</v>
      </c>
      <c r="AH26" s="16" t="s">
        <v>526</v>
      </c>
      <c r="AI26" s="16" t="s">
        <v>253</v>
      </c>
      <c r="AJ26" s="16" t="s">
        <v>71</v>
      </c>
      <c r="AL26" s="16" t="s">
        <v>72</v>
      </c>
      <c r="AM26" s="16" t="s">
        <v>527</v>
      </c>
      <c r="AN26" s="16">
        <v>1</v>
      </c>
      <c r="AO26" s="16" t="s">
        <v>528</v>
      </c>
      <c r="AS26" s="16">
        <v>0</v>
      </c>
      <c r="AT26" s="16">
        <v>0</v>
      </c>
      <c r="AU26" s="16">
        <v>0</v>
      </c>
      <c r="AV26" s="16">
        <v>0</v>
      </c>
      <c r="AW26" s="16">
        <v>0</v>
      </c>
      <c r="AX26" s="16">
        <v>1</v>
      </c>
    </row>
    <row r="27" spans="1:50" s="17" customFormat="1" ht="15.75" customHeight="1">
      <c r="A27" s="14">
        <v>213</v>
      </c>
      <c r="B27" s="15" t="s">
        <v>529</v>
      </c>
      <c r="C27" s="27"/>
      <c r="D27" s="27" t="s">
        <v>530</v>
      </c>
      <c r="E27" s="27"/>
      <c r="F27" s="16" t="s">
        <v>531</v>
      </c>
      <c r="G27" s="16" t="s">
        <v>532</v>
      </c>
      <c r="H27" s="16" t="s">
        <v>533</v>
      </c>
      <c r="I27" s="16" t="s">
        <v>534</v>
      </c>
      <c r="J27" s="16">
        <v>2022</v>
      </c>
      <c r="K27" s="16" t="s">
        <v>535</v>
      </c>
      <c r="L27" s="16" t="s">
        <v>536</v>
      </c>
      <c r="N27" s="16" t="s">
        <v>537</v>
      </c>
      <c r="R27" s="16">
        <v>17</v>
      </c>
      <c r="S27" s="16" t="s">
        <v>538</v>
      </c>
      <c r="T27" s="16" t="s">
        <v>539</v>
      </c>
      <c r="U27" s="16" t="s">
        <v>540</v>
      </c>
      <c r="V27" s="16" t="s">
        <v>541</v>
      </c>
      <c r="W27" s="16" t="s">
        <v>542</v>
      </c>
      <c r="X27" s="16" t="s">
        <v>543</v>
      </c>
      <c r="Y27" s="16" t="s">
        <v>544</v>
      </c>
      <c r="Z27" s="16" t="s">
        <v>545</v>
      </c>
      <c r="AB27" s="16" t="s">
        <v>116</v>
      </c>
      <c r="AC27" s="16" t="s">
        <v>546</v>
      </c>
      <c r="AE27" s="16" t="s">
        <v>547</v>
      </c>
      <c r="AG27" s="16" t="s">
        <v>95</v>
      </c>
      <c r="AH27" s="16" t="s">
        <v>535</v>
      </c>
      <c r="AI27" s="16" t="s">
        <v>70</v>
      </c>
      <c r="AJ27" s="16" t="s">
        <v>71</v>
      </c>
      <c r="AL27" s="16" t="s">
        <v>72</v>
      </c>
      <c r="AM27" s="16" t="s">
        <v>548</v>
      </c>
      <c r="AN27" s="16">
        <v>1</v>
      </c>
      <c r="AO27" s="16" t="s">
        <v>549</v>
      </c>
      <c r="AS27" s="16">
        <v>0</v>
      </c>
      <c r="AT27" s="16">
        <v>0</v>
      </c>
      <c r="AU27" s="16">
        <v>0</v>
      </c>
      <c r="AV27" s="16">
        <v>0</v>
      </c>
      <c r="AW27" s="16">
        <v>0</v>
      </c>
      <c r="AX27" s="16">
        <v>1</v>
      </c>
    </row>
    <row r="28" spans="1:50" s="13" customFormat="1" ht="15.75" customHeight="1">
      <c r="A28" s="10">
        <v>218</v>
      </c>
      <c r="B28" s="11" t="s">
        <v>75</v>
      </c>
      <c r="C28" s="26" t="s">
        <v>361</v>
      </c>
      <c r="D28" s="26"/>
      <c r="E28" s="26"/>
      <c r="F28" s="12" t="s">
        <v>550</v>
      </c>
      <c r="G28" s="12" t="s">
        <v>551</v>
      </c>
      <c r="H28" s="12" t="s">
        <v>552</v>
      </c>
      <c r="I28" s="12" t="s">
        <v>553</v>
      </c>
      <c r="J28" s="12">
        <v>2023</v>
      </c>
      <c r="K28" s="12" t="s">
        <v>554</v>
      </c>
      <c r="L28" s="12" t="s">
        <v>555</v>
      </c>
      <c r="R28" s="12">
        <v>23</v>
      </c>
      <c r="S28" s="12" t="s">
        <v>556</v>
      </c>
      <c r="T28" s="12" t="s">
        <v>557</v>
      </c>
      <c r="U28" s="12" t="s">
        <v>558</v>
      </c>
      <c r="V28" s="12" t="s">
        <v>559</v>
      </c>
      <c r="W28" s="12" t="s">
        <v>560</v>
      </c>
      <c r="X28" s="12" t="s">
        <v>561</v>
      </c>
      <c r="Y28" s="12" t="s">
        <v>562</v>
      </c>
      <c r="AB28" s="12" t="s">
        <v>137</v>
      </c>
      <c r="AC28" s="12" t="s">
        <v>563</v>
      </c>
      <c r="AD28" s="12" t="s">
        <v>564</v>
      </c>
      <c r="AG28" s="12" t="s">
        <v>95</v>
      </c>
      <c r="AH28" s="12" t="s">
        <v>565</v>
      </c>
      <c r="AI28" s="12" t="s">
        <v>253</v>
      </c>
      <c r="AJ28" s="12" t="s">
        <v>71</v>
      </c>
      <c r="AL28" s="12" t="s">
        <v>72</v>
      </c>
      <c r="AM28" s="12" t="s">
        <v>566</v>
      </c>
      <c r="AN28" s="12">
        <v>1</v>
      </c>
      <c r="AO28" s="12" t="s">
        <v>567</v>
      </c>
      <c r="AQ28" s="12">
        <v>0</v>
      </c>
      <c r="AR28" s="12">
        <v>1</v>
      </c>
      <c r="AS28" s="12">
        <v>0</v>
      </c>
      <c r="AT28" s="12">
        <v>0</v>
      </c>
      <c r="AU28" s="12">
        <v>0</v>
      </c>
      <c r="AV28" s="12">
        <v>0</v>
      </c>
    </row>
    <row r="29" spans="1:50" s="13" customFormat="1" ht="15.75" customHeight="1">
      <c r="A29" s="10">
        <v>220</v>
      </c>
      <c r="B29" s="11" t="s">
        <v>75</v>
      </c>
      <c r="C29" s="26" t="s">
        <v>361</v>
      </c>
      <c r="D29" s="26"/>
      <c r="E29" s="26" t="s">
        <v>77</v>
      </c>
      <c r="F29" s="12" t="s">
        <v>568</v>
      </c>
      <c r="G29" s="12" t="s">
        <v>569</v>
      </c>
      <c r="H29" s="12" t="s">
        <v>570</v>
      </c>
      <c r="I29" s="12" t="s">
        <v>571</v>
      </c>
      <c r="J29" s="12">
        <v>2023</v>
      </c>
      <c r="K29" s="12" t="s">
        <v>572</v>
      </c>
      <c r="R29" s="12">
        <v>0</v>
      </c>
      <c r="S29" s="12" t="s">
        <v>573</v>
      </c>
      <c r="T29" s="12" t="s">
        <v>574</v>
      </c>
      <c r="U29" s="12" t="s">
        <v>575</v>
      </c>
      <c r="V29" s="12" t="s">
        <v>576</v>
      </c>
      <c r="W29" s="12" t="s">
        <v>577</v>
      </c>
      <c r="X29" s="12" t="s">
        <v>578</v>
      </c>
      <c r="Y29" s="12" t="s">
        <v>579</v>
      </c>
      <c r="AB29" s="12" t="s">
        <v>137</v>
      </c>
      <c r="AD29" s="12" t="s">
        <v>580</v>
      </c>
      <c r="AG29" s="12" t="s">
        <v>95</v>
      </c>
      <c r="AH29" s="12" t="s">
        <v>581</v>
      </c>
      <c r="AI29" s="12" t="s">
        <v>253</v>
      </c>
      <c r="AJ29" s="12" t="s">
        <v>71</v>
      </c>
      <c r="AL29" s="12" t="s">
        <v>72</v>
      </c>
      <c r="AM29" s="12" t="s">
        <v>582</v>
      </c>
      <c r="AN29" s="12">
        <v>1</v>
      </c>
      <c r="AO29" s="12" t="s">
        <v>583</v>
      </c>
      <c r="AS29" s="12">
        <v>0</v>
      </c>
      <c r="AT29" s="12">
        <v>0</v>
      </c>
      <c r="AU29" s="12">
        <v>0</v>
      </c>
      <c r="AV29" s="12">
        <v>0</v>
      </c>
      <c r="AW29" s="12">
        <v>0</v>
      </c>
      <c r="AX29" s="12">
        <v>1</v>
      </c>
    </row>
    <row r="30" spans="1:50" s="17" customFormat="1" ht="15.75" customHeight="1">
      <c r="A30" s="14">
        <v>230</v>
      </c>
      <c r="B30" s="15" t="s">
        <v>75</v>
      </c>
      <c r="C30" s="27"/>
      <c r="D30" s="27" t="s">
        <v>584</v>
      </c>
      <c r="E30" s="27"/>
      <c r="F30" s="16" t="s">
        <v>585</v>
      </c>
      <c r="G30" s="16" t="s">
        <v>586</v>
      </c>
      <c r="H30" s="16" t="s">
        <v>587</v>
      </c>
      <c r="I30" s="16" t="s">
        <v>588</v>
      </c>
      <c r="J30" s="16">
        <v>2023</v>
      </c>
      <c r="K30" s="16" t="s">
        <v>589</v>
      </c>
      <c r="O30" s="16">
        <v>165</v>
      </c>
      <c r="P30" s="16">
        <v>169</v>
      </c>
      <c r="Q30" s="16">
        <v>4</v>
      </c>
      <c r="R30" s="16">
        <v>1</v>
      </c>
      <c r="S30" s="16" t="s">
        <v>590</v>
      </c>
      <c r="T30" s="16" t="s">
        <v>591</v>
      </c>
      <c r="U30" s="16" t="s">
        <v>592</v>
      </c>
      <c r="V30" s="16" t="s">
        <v>593</v>
      </c>
      <c r="W30" s="16" t="s">
        <v>594</v>
      </c>
      <c r="X30" s="16" t="s">
        <v>595</v>
      </c>
      <c r="Y30" s="16" t="s">
        <v>596</v>
      </c>
      <c r="Z30" s="16" t="s">
        <v>597</v>
      </c>
      <c r="AB30" s="16" t="s">
        <v>137</v>
      </c>
      <c r="AD30" s="16" t="s">
        <v>598</v>
      </c>
      <c r="AG30" s="16" t="s">
        <v>95</v>
      </c>
      <c r="AH30" s="16" t="s">
        <v>599</v>
      </c>
      <c r="AI30" s="16" t="s">
        <v>253</v>
      </c>
      <c r="AJ30" s="16" t="s">
        <v>71</v>
      </c>
      <c r="AL30" s="16" t="s">
        <v>72</v>
      </c>
      <c r="AM30" s="16" t="s">
        <v>600</v>
      </c>
      <c r="AN30" s="16">
        <v>1</v>
      </c>
      <c r="AO30" s="16" t="s">
        <v>601</v>
      </c>
      <c r="AS30" s="16">
        <v>0</v>
      </c>
      <c r="AT30" s="16">
        <v>0</v>
      </c>
      <c r="AU30" s="16">
        <v>0</v>
      </c>
      <c r="AV30" s="16">
        <v>0</v>
      </c>
      <c r="AW30" s="16">
        <v>1</v>
      </c>
      <c r="AX30" s="16">
        <v>0</v>
      </c>
    </row>
    <row r="31" spans="1:50" s="13" customFormat="1" ht="15.75" customHeight="1">
      <c r="A31" s="10">
        <v>238</v>
      </c>
      <c r="B31" s="11" t="s">
        <v>75</v>
      </c>
      <c r="C31" s="26" t="s">
        <v>602</v>
      </c>
      <c r="D31" s="26"/>
      <c r="E31" s="26" t="s">
        <v>77</v>
      </c>
      <c r="F31" s="12" t="s">
        <v>603</v>
      </c>
      <c r="G31" s="12" t="s">
        <v>604</v>
      </c>
      <c r="H31" s="12" t="s">
        <v>605</v>
      </c>
      <c r="I31" s="12" t="s">
        <v>606</v>
      </c>
      <c r="J31" s="12">
        <v>2023</v>
      </c>
      <c r="K31" s="12" t="s">
        <v>607</v>
      </c>
      <c r="L31" s="12" t="s">
        <v>608</v>
      </c>
      <c r="R31" s="12">
        <v>1</v>
      </c>
      <c r="S31" s="12" t="s">
        <v>609</v>
      </c>
      <c r="T31" s="12" t="s">
        <v>610</v>
      </c>
      <c r="U31" s="12" t="s">
        <v>611</v>
      </c>
      <c r="V31" s="12" t="s">
        <v>612</v>
      </c>
      <c r="W31" s="12" t="s">
        <v>613</v>
      </c>
      <c r="X31" s="12" t="s">
        <v>614</v>
      </c>
      <c r="Y31" s="12" t="s">
        <v>615</v>
      </c>
      <c r="AA31" s="12" t="s">
        <v>616</v>
      </c>
      <c r="AB31" s="12" t="s">
        <v>137</v>
      </c>
      <c r="AD31" s="12" t="s">
        <v>617</v>
      </c>
      <c r="AG31" s="12" t="s">
        <v>95</v>
      </c>
      <c r="AH31" s="12" t="s">
        <v>618</v>
      </c>
      <c r="AI31" s="12" t="s">
        <v>253</v>
      </c>
      <c r="AJ31" s="12" t="s">
        <v>71</v>
      </c>
      <c r="AL31" s="12" t="s">
        <v>72</v>
      </c>
      <c r="AM31" s="12" t="s">
        <v>619</v>
      </c>
      <c r="AN31" s="12">
        <v>1</v>
      </c>
      <c r="AO31" s="12" t="s">
        <v>620</v>
      </c>
      <c r="AS31" s="12">
        <v>0</v>
      </c>
      <c r="AT31" s="12">
        <v>0</v>
      </c>
      <c r="AU31" s="12">
        <v>0</v>
      </c>
      <c r="AV31" s="12">
        <v>0</v>
      </c>
      <c r="AW31" s="12">
        <v>0</v>
      </c>
      <c r="AX31" s="12">
        <v>1</v>
      </c>
    </row>
    <row r="32" spans="1:50" s="17" customFormat="1" ht="15.75" customHeight="1">
      <c r="A32" s="14">
        <v>248</v>
      </c>
      <c r="B32" s="15" t="s">
        <v>75</v>
      </c>
      <c r="C32" s="27"/>
      <c r="D32" s="27" t="s">
        <v>621</v>
      </c>
      <c r="E32" s="27"/>
      <c r="F32" s="16" t="s">
        <v>622</v>
      </c>
      <c r="G32" s="16" t="s">
        <v>623</v>
      </c>
      <c r="H32" s="16" t="s">
        <v>624</v>
      </c>
      <c r="I32" s="16" t="s">
        <v>625</v>
      </c>
      <c r="J32" s="16">
        <v>2022</v>
      </c>
      <c r="K32" s="16" t="s">
        <v>626</v>
      </c>
      <c r="L32" s="16" t="s">
        <v>627</v>
      </c>
      <c r="O32" s="16">
        <v>10</v>
      </c>
      <c r="P32" s="16">
        <v>16</v>
      </c>
      <c r="Q32" s="16">
        <v>6</v>
      </c>
      <c r="R32" s="16">
        <v>6</v>
      </c>
      <c r="S32" s="16" t="s">
        <v>628</v>
      </c>
      <c r="T32" s="16" t="s">
        <v>629</v>
      </c>
      <c r="U32" s="16" t="s">
        <v>630</v>
      </c>
      <c r="V32" s="16" t="s">
        <v>631</v>
      </c>
      <c r="W32" s="16" t="s">
        <v>632</v>
      </c>
      <c r="X32" s="16" t="s">
        <v>633</v>
      </c>
      <c r="Y32" s="16" t="s">
        <v>634</v>
      </c>
      <c r="AA32" s="16" t="s">
        <v>635</v>
      </c>
      <c r="AB32" s="16" t="s">
        <v>636</v>
      </c>
      <c r="AC32" s="16" t="s">
        <v>637</v>
      </c>
      <c r="AD32" s="16" t="s">
        <v>638</v>
      </c>
      <c r="AG32" s="16" t="s">
        <v>95</v>
      </c>
      <c r="AH32" s="16" t="s">
        <v>639</v>
      </c>
      <c r="AI32" s="16" t="s">
        <v>253</v>
      </c>
      <c r="AJ32" s="16" t="s">
        <v>71</v>
      </c>
      <c r="AK32" s="16" t="s">
        <v>640</v>
      </c>
      <c r="AL32" s="16" t="s">
        <v>72</v>
      </c>
      <c r="AM32" s="16" t="s">
        <v>641</v>
      </c>
      <c r="AN32" s="16">
        <v>1</v>
      </c>
      <c r="AO32" s="16" t="s">
        <v>642</v>
      </c>
      <c r="AS32" s="16">
        <v>0</v>
      </c>
      <c r="AT32" s="16">
        <v>0</v>
      </c>
      <c r="AU32" s="16">
        <v>0</v>
      </c>
      <c r="AV32" s="16">
        <v>0</v>
      </c>
      <c r="AW32" s="16">
        <v>0</v>
      </c>
      <c r="AX32" s="16">
        <v>1</v>
      </c>
    </row>
    <row r="33" spans="1:50" s="17" customFormat="1" ht="15.75" customHeight="1">
      <c r="A33" s="14">
        <v>256</v>
      </c>
      <c r="B33" s="15" t="s">
        <v>75</v>
      </c>
      <c r="C33" s="27"/>
      <c r="D33" s="27" t="s">
        <v>643</v>
      </c>
      <c r="E33" s="27"/>
      <c r="F33" s="16" t="s">
        <v>644</v>
      </c>
      <c r="G33" s="16" t="s">
        <v>645</v>
      </c>
      <c r="H33" s="16" t="s">
        <v>646</v>
      </c>
      <c r="I33" s="16" t="s">
        <v>647</v>
      </c>
      <c r="J33" s="16">
        <v>2023</v>
      </c>
      <c r="K33" s="16" t="s">
        <v>648</v>
      </c>
      <c r="L33" s="16" t="s">
        <v>649</v>
      </c>
      <c r="M33" s="16" t="s">
        <v>58</v>
      </c>
      <c r="O33" s="16">
        <v>839</v>
      </c>
      <c r="P33" s="16">
        <v>852</v>
      </c>
      <c r="Q33" s="16">
        <v>13</v>
      </c>
      <c r="R33" s="16">
        <v>6</v>
      </c>
      <c r="S33" s="16" t="s">
        <v>650</v>
      </c>
      <c r="T33" s="16" t="s">
        <v>651</v>
      </c>
      <c r="U33" s="16" t="s">
        <v>652</v>
      </c>
      <c r="V33" s="16" t="s">
        <v>653</v>
      </c>
      <c r="W33" s="16" t="s">
        <v>654</v>
      </c>
      <c r="X33" s="16" t="s">
        <v>655</v>
      </c>
      <c r="Y33" s="16" t="s">
        <v>656</v>
      </c>
      <c r="Z33" s="16" t="s">
        <v>657</v>
      </c>
      <c r="AB33" s="16" t="s">
        <v>93</v>
      </c>
      <c r="AC33" s="16" t="s">
        <v>658</v>
      </c>
      <c r="AG33" s="16" t="s">
        <v>95</v>
      </c>
      <c r="AH33" s="16" t="s">
        <v>659</v>
      </c>
      <c r="AI33" s="16" t="s">
        <v>70</v>
      </c>
      <c r="AJ33" s="16" t="s">
        <v>71</v>
      </c>
      <c r="AL33" s="16" t="s">
        <v>72</v>
      </c>
      <c r="AM33" s="16" t="s">
        <v>660</v>
      </c>
      <c r="AN33" s="16">
        <v>1</v>
      </c>
      <c r="AO33" s="16" t="s">
        <v>661</v>
      </c>
      <c r="AS33" s="16">
        <v>0</v>
      </c>
      <c r="AT33" s="16">
        <v>0</v>
      </c>
      <c r="AU33" s="16">
        <v>0</v>
      </c>
      <c r="AV33" s="16">
        <v>0</v>
      </c>
      <c r="AW33" s="16">
        <v>0</v>
      </c>
      <c r="AX33" s="16">
        <v>1</v>
      </c>
    </row>
    <row r="34" spans="1:50" s="13" customFormat="1" ht="15.75" customHeight="1">
      <c r="A34" s="10">
        <v>261</v>
      </c>
      <c r="B34" s="11" t="s">
        <v>75</v>
      </c>
      <c r="C34" s="26" t="s">
        <v>662</v>
      </c>
      <c r="D34" s="26"/>
      <c r="E34" s="26" t="s">
        <v>77</v>
      </c>
      <c r="F34" s="12" t="s">
        <v>663</v>
      </c>
      <c r="G34" s="12" t="s">
        <v>664</v>
      </c>
      <c r="H34" s="12" t="s">
        <v>665</v>
      </c>
      <c r="I34" s="12" t="s">
        <v>666</v>
      </c>
      <c r="J34" s="12">
        <v>2023</v>
      </c>
      <c r="K34" s="12" t="s">
        <v>667</v>
      </c>
      <c r="L34" s="12" t="s">
        <v>668</v>
      </c>
      <c r="O34" s="12">
        <v>245</v>
      </c>
      <c r="P34" s="12">
        <v>265</v>
      </c>
      <c r="Q34" s="12">
        <v>20</v>
      </c>
      <c r="R34" s="12">
        <v>6</v>
      </c>
      <c r="S34" s="12" t="s">
        <v>669</v>
      </c>
      <c r="T34" s="12" t="s">
        <v>670</v>
      </c>
      <c r="U34" s="12" t="s">
        <v>671</v>
      </c>
      <c r="V34" s="12" t="s">
        <v>672</v>
      </c>
      <c r="W34" s="12" t="s">
        <v>673</v>
      </c>
      <c r="X34" s="12" t="s">
        <v>674</v>
      </c>
      <c r="Y34" s="12" t="s">
        <v>675</v>
      </c>
      <c r="Z34" s="12" t="s">
        <v>676</v>
      </c>
      <c r="AA34" s="12" t="s">
        <v>677</v>
      </c>
      <c r="AB34" s="12" t="s">
        <v>523</v>
      </c>
      <c r="AC34" s="12" t="s">
        <v>678</v>
      </c>
      <c r="AD34" s="12" t="s">
        <v>679</v>
      </c>
      <c r="AG34" s="12" t="s">
        <v>95</v>
      </c>
      <c r="AH34" s="12" t="s">
        <v>680</v>
      </c>
      <c r="AI34" s="12" t="s">
        <v>253</v>
      </c>
      <c r="AJ34" s="12" t="s">
        <v>71</v>
      </c>
      <c r="AL34" s="12" t="s">
        <v>72</v>
      </c>
      <c r="AM34" s="12" t="s">
        <v>681</v>
      </c>
      <c r="AN34" s="12">
        <v>1</v>
      </c>
      <c r="AO34" s="12" t="s">
        <v>682</v>
      </c>
      <c r="AS34" s="12">
        <v>0</v>
      </c>
      <c r="AT34" s="12">
        <v>0</v>
      </c>
      <c r="AU34" s="12">
        <v>0</v>
      </c>
      <c r="AV34" s="12">
        <v>0</v>
      </c>
      <c r="AW34" s="12">
        <v>0</v>
      </c>
      <c r="AX34" s="12">
        <v>1</v>
      </c>
    </row>
    <row r="35" spans="1:50" s="13" customFormat="1" ht="15.75" customHeight="1">
      <c r="A35" s="10">
        <v>267</v>
      </c>
      <c r="B35" s="11" t="s">
        <v>75</v>
      </c>
      <c r="C35" s="26" t="s">
        <v>683</v>
      </c>
      <c r="D35" s="26"/>
      <c r="E35" s="26" t="s">
        <v>77</v>
      </c>
      <c r="F35" s="12" t="s">
        <v>684</v>
      </c>
      <c r="G35" s="12" t="s">
        <v>685</v>
      </c>
      <c r="H35" s="12" t="s">
        <v>686</v>
      </c>
      <c r="I35" s="12" t="s">
        <v>687</v>
      </c>
      <c r="J35" s="12">
        <v>2022</v>
      </c>
      <c r="K35" s="12" t="s">
        <v>147</v>
      </c>
      <c r="L35" s="12" t="s">
        <v>688</v>
      </c>
      <c r="N35" s="12" t="s">
        <v>689</v>
      </c>
      <c r="R35" s="12">
        <v>20</v>
      </c>
      <c r="S35" s="12" t="s">
        <v>690</v>
      </c>
      <c r="T35" s="12" t="s">
        <v>691</v>
      </c>
      <c r="U35" s="12" t="s">
        <v>692</v>
      </c>
      <c r="V35" s="12" t="s">
        <v>693</v>
      </c>
      <c r="W35" s="12" t="s">
        <v>694</v>
      </c>
      <c r="X35" s="12" t="s">
        <v>695</v>
      </c>
      <c r="Y35" s="12" t="s">
        <v>696</v>
      </c>
      <c r="Z35" s="12" t="s">
        <v>697</v>
      </c>
      <c r="AB35" s="12" t="s">
        <v>158</v>
      </c>
      <c r="AC35" s="12" t="s">
        <v>159</v>
      </c>
      <c r="AG35" s="12" t="s">
        <v>95</v>
      </c>
      <c r="AH35" s="12" t="s">
        <v>160</v>
      </c>
      <c r="AI35" s="12" t="s">
        <v>70</v>
      </c>
      <c r="AJ35" s="12" t="s">
        <v>71</v>
      </c>
      <c r="AL35" s="12" t="s">
        <v>72</v>
      </c>
      <c r="AM35" s="12" t="s">
        <v>698</v>
      </c>
      <c r="AN35" s="12">
        <v>1</v>
      </c>
      <c r="AO35" s="12" t="s">
        <v>699</v>
      </c>
      <c r="AQ35" s="12">
        <v>0</v>
      </c>
      <c r="AR35" s="12">
        <v>1</v>
      </c>
      <c r="AS35" s="12">
        <v>0</v>
      </c>
      <c r="AT35" s="12">
        <v>0</v>
      </c>
      <c r="AU35" s="12">
        <v>0</v>
      </c>
      <c r="AV35" s="12">
        <v>0</v>
      </c>
    </row>
    <row r="36" spans="1:50" s="13" customFormat="1" ht="15.75" customHeight="1">
      <c r="A36" s="10">
        <v>268</v>
      </c>
      <c r="B36" s="11" t="s">
        <v>75</v>
      </c>
      <c r="C36" s="26" t="s">
        <v>700</v>
      </c>
      <c r="D36" s="26"/>
      <c r="E36" s="26" t="s">
        <v>77</v>
      </c>
      <c r="F36" s="12" t="s">
        <v>701</v>
      </c>
      <c r="G36" s="12" t="s">
        <v>702</v>
      </c>
      <c r="H36" s="12" t="s">
        <v>703</v>
      </c>
      <c r="I36" s="12" t="s">
        <v>704</v>
      </c>
      <c r="J36" s="12">
        <v>2022</v>
      </c>
      <c r="K36" s="12" t="s">
        <v>705</v>
      </c>
      <c r="O36" s="12">
        <v>1</v>
      </c>
      <c r="P36" s="12">
        <v>13</v>
      </c>
      <c r="Q36" s="12">
        <v>12</v>
      </c>
      <c r="R36" s="12">
        <v>7</v>
      </c>
      <c r="S36" s="12" t="s">
        <v>706</v>
      </c>
      <c r="T36" s="12" t="s">
        <v>707</v>
      </c>
      <c r="U36" s="12" t="s">
        <v>708</v>
      </c>
      <c r="V36" s="12" t="s">
        <v>709</v>
      </c>
      <c r="W36" s="12" t="s">
        <v>710</v>
      </c>
      <c r="X36" s="12" t="s">
        <v>711</v>
      </c>
      <c r="Y36" s="12" t="s">
        <v>712</v>
      </c>
      <c r="AB36" s="12" t="s">
        <v>269</v>
      </c>
      <c r="AD36" s="12" t="s">
        <v>713</v>
      </c>
      <c r="AG36" s="12" t="s">
        <v>95</v>
      </c>
      <c r="AH36" s="12" t="s">
        <v>714</v>
      </c>
      <c r="AI36" s="12" t="s">
        <v>253</v>
      </c>
      <c r="AJ36" s="12" t="s">
        <v>71</v>
      </c>
      <c r="AK36" s="12" t="s">
        <v>715</v>
      </c>
      <c r="AL36" s="12" t="s">
        <v>72</v>
      </c>
      <c r="AM36" s="12" t="s">
        <v>716</v>
      </c>
      <c r="AN36" s="12">
        <v>1</v>
      </c>
      <c r="AO36" s="12" t="s">
        <v>717</v>
      </c>
      <c r="AS36" s="12">
        <v>0</v>
      </c>
      <c r="AT36" s="12">
        <v>0</v>
      </c>
      <c r="AU36" s="12">
        <v>0</v>
      </c>
      <c r="AV36" s="12">
        <v>0</v>
      </c>
      <c r="AW36" s="12">
        <v>0</v>
      </c>
      <c r="AX36" s="12">
        <v>1</v>
      </c>
    </row>
    <row r="37" spans="1:50" s="13" customFormat="1" ht="15.75" customHeight="1">
      <c r="A37" s="10">
        <v>300</v>
      </c>
      <c r="B37" s="11" t="s">
        <v>75</v>
      </c>
      <c r="C37" s="26" t="s">
        <v>602</v>
      </c>
      <c r="D37" s="26"/>
      <c r="E37" s="26" t="s">
        <v>77</v>
      </c>
      <c r="F37" s="12" t="s">
        <v>718</v>
      </c>
      <c r="G37" s="12" t="s">
        <v>719</v>
      </c>
      <c r="H37" s="12" t="s">
        <v>720</v>
      </c>
      <c r="I37" s="12" t="s">
        <v>721</v>
      </c>
      <c r="J37" s="12">
        <v>2022</v>
      </c>
      <c r="K37" s="12" t="s">
        <v>722</v>
      </c>
      <c r="O37" s="12">
        <v>47</v>
      </c>
      <c r="P37" s="12">
        <v>56</v>
      </c>
      <c r="Q37" s="12">
        <v>9</v>
      </c>
      <c r="R37" s="12">
        <v>4</v>
      </c>
      <c r="S37" s="12" t="s">
        <v>723</v>
      </c>
      <c r="T37" s="12" t="s">
        <v>724</v>
      </c>
      <c r="U37" s="12" t="s">
        <v>725</v>
      </c>
      <c r="V37" s="12" t="s">
        <v>726</v>
      </c>
      <c r="W37" s="12" t="s">
        <v>727</v>
      </c>
      <c r="X37" s="12" t="s">
        <v>728</v>
      </c>
      <c r="Y37" s="12" t="s">
        <v>729</v>
      </c>
      <c r="AB37" s="12" t="s">
        <v>269</v>
      </c>
      <c r="AD37" s="12" t="s">
        <v>730</v>
      </c>
      <c r="AG37" s="12" t="s">
        <v>95</v>
      </c>
      <c r="AH37" s="12" t="s">
        <v>731</v>
      </c>
      <c r="AI37" s="12" t="s">
        <v>253</v>
      </c>
      <c r="AJ37" s="12" t="s">
        <v>71</v>
      </c>
      <c r="AL37" s="12" t="s">
        <v>72</v>
      </c>
      <c r="AM37" s="12" t="s">
        <v>732</v>
      </c>
      <c r="AN37" s="12">
        <v>1</v>
      </c>
      <c r="AO37" s="12" t="s">
        <v>733</v>
      </c>
      <c r="AS37" s="12">
        <v>0</v>
      </c>
      <c r="AT37" s="12">
        <v>0</v>
      </c>
      <c r="AU37" s="12">
        <v>0</v>
      </c>
      <c r="AV37" s="12">
        <v>0</v>
      </c>
      <c r="AW37" s="12">
        <v>0</v>
      </c>
      <c r="AX37" s="12">
        <v>1</v>
      </c>
    </row>
    <row r="38" spans="1:50" s="17" customFormat="1" ht="15.75" customHeight="1">
      <c r="A38" s="14">
        <v>307</v>
      </c>
      <c r="B38" s="15" t="s">
        <v>75</v>
      </c>
      <c r="C38" s="27"/>
      <c r="D38" s="9" t="s">
        <v>428</v>
      </c>
      <c r="E38" s="9"/>
      <c r="F38" s="16" t="s">
        <v>734</v>
      </c>
      <c r="G38" s="16" t="s">
        <v>735</v>
      </c>
      <c r="H38" s="16" t="s">
        <v>736</v>
      </c>
      <c r="I38" s="16" t="s">
        <v>737</v>
      </c>
      <c r="J38" s="16">
        <v>2022</v>
      </c>
      <c r="K38" s="16" t="s">
        <v>738</v>
      </c>
      <c r="L38" s="16" t="s">
        <v>739</v>
      </c>
      <c r="N38" s="16" t="s">
        <v>740</v>
      </c>
      <c r="R38" s="16">
        <v>24</v>
      </c>
      <c r="S38" s="16" t="s">
        <v>741</v>
      </c>
      <c r="T38" s="16" t="s">
        <v>742</v>
      </c>
      <c r="U38" s="16" t="s">
        <v>743</v>
      </c>
      <c r="V38" s="16" t="s">
        <v>744</v>
      </c>
      <c r="W38" s="16" t="s">
        <v>745</v>
      </c>
      <c r="X38" s="16" t="s">
        <v>746</v>
      </c>
      <c r="Y38" s="16" t="s">
        <v>747</v>
      </c>
      <c r="Z38" s="16" t="s">
        <v>748</v>
      </c>
      <c r="AB38" s="16" t="s">
        <v>116</v>
      </c>
      <c r="AC38" s="16" t="s">
        <v>749</v>
      </c>
      <c r="AG38" s="16" t="s">
        <v>95</v>
      </c>
      <c r="AH38" s="16" t="s">
        <v>750</v>
      </c>
      <c r="AI38" s="16" t="s">
        <v>70</v>
      </c>
      <c r="AJ38" s="16" t="s">
        <v>71</v>
      </c>
      <c r="AK38" s="16" t="s">
        <v>97</v>
      </c>
      <c r="AL38" s="16" t="s">
        <v>72</v>
      </c>
      <c r="AM38" s="16" t="s">
        <v>751</v>
      </c>
      <c r="AN38" s="16">
        <v>1</v>
      </c>
      <c r="AO38" s="16" t="s">
        <v>752</v>
      </c>
      <c r="AS38" s="16">
        <v>0</v>
      </c>
      <c r="AT38" s="16">
        <v>0</v>
      </c>
      <c r="AU38" s="16">
        <v>0</v>
      </c>
      <c r="AV38" s="16">
        <v>0</v>
      </c>
      <c r="AW38" s="16">
        <v>0</v>
      </c>
      <c r="AX38" s="16">
        <v>1</v>
      </c>
    </row>
    <row r="39" spans="1:50" s="13" customFormat="1" ht="15.75" customHeight="1">
      <c r="A39" s="10">
        <v>308</v>
      </c>
      <c r="B39" s="11" t="s">
        <v>75</v>
      </c>
      <c r="C39" s="85" t="s">
        <v>753</v>
      </c>
      <c r="D39" s="26"/>
      <c r="E39" s="26" t="s">
        <v>77</v>
      </c>
      <c r="F39" s="12" t="s">
        <v>754</v>
      </c>
      <c r="G39" s="12" t="s">
        <v>755</v>
      </c>
      <c r="H39" s="12" t="s">
        <v>756</v>
      </c>
      <c r="I39" s="12" t="s">
        <v>757</v>
      </c>
      <c r="J39" s="12">
        <v>2022</v>
      </c>
      <c r="K39" s="12" t="s">
        <v>758</v>
      </c>
      <c r="L39" s="12" t="s">
        <v>759</v>
      </c>
      <c r="O39" s="12">
        <v>94</v>
      </c>
      <c r="P39" s="12">
        <v>108</v>
      </c>
      <c r="Q39" s="12">
        <v>14</v>
      </c>
      <c r="R39" s="12">
        <v>2</v>
      </c>
      <c r="S39" s="12" t="s">
        <v>760</v>
      </c>
      <c r="T39" s="12" t="s">
        <v>761</v>
      </c>
      <c r="U39" s="12" t="s">
        <v>762</v>
      </c>
      <c r="V39" s="12" t="s">
        <v>763</v>
      </c>
      <c r="W39" s="12" t="s">
        <v>764</v>
      </c>
      <c r="X39" s="12" t="s">
        <v>765</v>
      </c>
      <c r="Y39" s="12" t="s">
        <v>766</v>
      </c>
      <c r="Z39" s="12" t="s">
        <v>767</v>
      </c>
      <c r="AA39" s="12" t="s">
        <v>768</v>
      </c>
      <c r="AB39" s="12" t="s">
        <v>523</v>
      </c>
      <c r="AC39" s="12" t="s">
        <v>769</v>
      </c>
      <c r="AD39" s="12" t="s">
        <v>770</v>
      </c>
      <c r="AG39" s="12" t="s">
        <v>95</v>
      </c>
      <c r="AH39" s="12" t="s">
        <v>771</v>
      </c>
      <c r="AI39" s="12" t="s">
        <v>253</v>
      </c>
      <c r="AJ39" s="12" t="s">
        <v>71</v>
      </c>
      <c r="AL39" s="12" t="s">
        <v>72</v>
      </c>
      <c r="AM39" s="12" t="s">
        <v>772</v>
      </c>
      <c r="AN39" s="12">
        <v>1</v>
      </c>
      <c r="AO39" s="12" t="s">
        <v>773</v>
      </c>
      <c r="AQ39" s="12">
        <v>0</v>
      </c>
      <c r="AR39" s="12">
        <v>1</v>
      </c>
      <c r="AS39" s="12">
        <v>0</v>
      </c>
      <c r="AT39" s="12">
        <v>0</v>
      </c>
      <c r="AU39" s="12">
        <v>0</v>
      </c>
      <c r="AV39" s="12">
        <v>0</v>
      </c>
    </row>
    <row r="40" spans="1:50" ht="15.75" customHeight="1">
      <c r="A40" s="2">
        <v>336</v>
      </c>
      <c r="B40" s="8"/>
      <c r="C40" s="25" t="s">
        <v>774</v>
      </c>
      <c r="D40" s="25"/>
      <c r="E40" s="25"/>
      <c r="F40" s="1" t="s">
        <v>775</v>
      </c>
      <c r="G40" s="1" t="s">
        <v>776</v>
      </c>
      <c r="H40" s="1" t="s">
        <v>777</v>
      </c>
      <c r="I40" s="1" t="s">
        <v>778</v>
      </c>
      <c r="J40" s="1">
        <v>2022</v>
      </c>
      <c r="K40" s="1" t="s">
        <v>779</v>
      </c>
      <c r="O40" s="1">
        <v>351</v>
      </c>
      <c r="P40" s="1">
        <v>356</v>
      </c>
      <c r="Q40" s="1">
        <v>5</v>
      </c>
      <c r="R40" s="1">
        <v>16</v>
      </c>
      <c r="S40" s="1" t="s">
        <v>780</v>
      </c>
      <c r="T40" s="1" t="s">
        <v>781</v>
      </c>
      <c r="U40" s="1" t="s">
        <v>782</v>
      </c>
      <c r="V40" s="1" t="s">
        <v>783</v>
      </c>
      <c r="W40" s="1" t="s">
        <v>784</v>
      </c>
      <c r="X40" s="1" t="s">
        <v>785</v>
      </c>
      <c r="Y40" s="1" t="s">
        <v>786</v>
      </c>
      <c r="AB40" s="1" t="s">
        <v>137</v>
      </c>
      <c r="AD40" s="1" t="s">
        <v>787</v>
      </c>
      <c r="AG40" s="1" t="s">
        <v>95</v>
      </c>
      <c r="AH40" s="1" t="s">
        <v>788</v>
      </c>
      <c r="AI40" s="1" t="s">
        <v>253</v>
      </c>
      <c r="AJ40" s="1" t="s">
        <v>71</v>
      </c>
      <c r="AL40" s="1" t="s">
        <v>72</v>
      </c>
      <c r="AM40" s="1" t="s">
        <v>789</v>
      </c>
      <c r="AN40" s="1">
        <v>1</v>
      </c>
      <c r="AO40" s="1" t="s">
        <v>790</v>
      </c>
      <c r="AQ40" s="1">
        <v>1</v>
      </c>
      <c r="AR40" s="1">
        <v>1</v>
      </c>
      <c r="AS40" s="1">
        <v>0</v>
      </c>
      <c r="AT40" s="1">
        <v>0</v>
      </c>
      <c r="AU40" s="1">
        <v>0</v>
      </c>
      <c r="AV40" s="1">
        <v>0</v>
      </c>
    </row>
    <row r="41" spans="1:50" s="17" customFormat="1" ht="15.75" customHeight="1">
      <c r="A41" s="14">
        <v>346</v>
      </c>
      <c r="B41" s="15" t="s">
        <v>75</v>
      </c>
      <c r="C41" s="27"/>
      <c r="D41" s="9" t="s">
        <v>428</v>
      </c>
      <c r="E41" s="9"/>
      <c r="F41" s="16" t="s">
        <v>791</v>
      </c>
      <c r="G41" s="16" t="s">
        <v>792</v>
      </c>
      <c r="H41" s="16" t="s">
        <v>793</v>
      </c>
      <c r="I41" s="16" t="s">
        <v>794</v>
      </c>
      <c r="J41" s="16">
        <v>2022</v>
      </c>
      <c r="K41" s="16" t="s">
        <v>795</v>
      </c>
      <c r="L41" s="16" t="s">
        <v>796</v>
      </c>
      <c r="O41" s="16">
        <v>319</v>
      </c>
      <c r="P41" s="16">
        <v>324</v>
      </c>
      <c r="Q41" s="16">
        <v>5</v>
      </c>
      <c r="R41" s="16">
        <v>3</v>
      </c>
      <c r="S41" s="16" t="s">
        <v>797</v>
      </c>
      <c r="T41" s="16" t="s">
        <v>798</v>
      </c>
      <c r="U41" s="16" t="s">
        <v>799</v>
      </c>
      <c r="V41" s="16" t="s">
        <v>800</v>
      </c>
      <c r="W41" s="16" t="s">
        <v>801</v>
      </c>
      <c r="X41" s="16" t="s">
        <v>802</v>
      </c>
      <c r="Y41" s="16" t="s">
        <v>803</v>
      </c>
      <c r="Z41" s="16" t="s">
        <v>804</v>
      </c>
      <c r="AB41" s="16" t="s">
        <v>137</v>
      </c>
      <c r="AC41" s="16" t="s">
        <v>805</v>
      </c>
      <c r="AD41" s="16" t="s">
        <v>806</v>
      </c>
      <c r="AG41" s="16" t="s">
        <v>95</v>
      </c>
      <c r="AH41" s="16" t="s">
        <v>807</v>
      </c>
      <c r="AI41" s="16" t="s">
        <v>253</v>
      </c>
      <c r="AJ41" s="16" t="s">
        <v>71</v>
      </c>
      <c r="AL41" s="16" t="s">
        <v>72</v>
      </c>
      <c r="AM41" s="16" t="s">
        <v>808</v>
      </c>
      <c r="AN41" s="16">
        <v>1</v>
      </c>
      <c r="AO41" s="16" t="s">
        <v>809</v>
      </c>
      <c r="AS41" s="16">
        <v>0</v>
      </c>
      <c r="AT41" s="16">
        <v>0</v>
      </c>
      <c r="AU41" s="16">
        <v>0</v>
      </c>
      <c r="AV41" s="16">
        <v>0</v>
      </c>
      <c r="AW41" s="16">
        <v>0</v>
      </c>
      <c r="AX41" s="16">
        <v>1</v>
      </c>
    </row>
    <row r="42" spans="1:50" s="13" customFormat="1" ht="15.75" customHeight="1">
      <c r="A42" s="10">
        <v>351</v>
      </c>
      <c r="B42" s="11" t="s">
        <v>75</v>
      </c>
      <c r="C42" s="85" t="s">
        <v>810</v>
      </c>
      <c r="D42" s="26"/>
      <c r="E42" s="26" t="s">
        <v>77</v>
      </c>
      <c r="F42" s="12" t="s">
        <v>811</v>
      </c>
      <c r="G42" s="12" t="s">
        <v>812</v>
      </c>
      <c r="H42" s="12" t="s">
        <v>813</v>
      </c>
      <c r="I42" s="12" t="s">
        <v>814</v>
      </c>
      <c r="J42" s="12">
        <v>2021</v>
      </c>
      <c r="K42" s="12" t="s">
        <v>147</v>
      </c>
      <c r="L42" s="12" t="s">
        <v>815</v>
      </c>
      <c r="N42" s="12" t="s">
        <v>816</v>
      </c>
      <c r="R42" s="12">
        <v>25</v>
      </c>
      <c r="S42" s="12" t="s">
        <v>817</v>
      </c>
      <c r="T42" s="12" t="s">
        <v>818</v>
      </c>
      <c r="U42" s="12" t="s">
        <v>819</v>
      </c>
      <c r="V42" s="12" t="s">
        <v>820</v>
      </c>
      <c r="W42" s="12" t="s">
        <v>821</v>
      </c>
      <c r="X42" s="12" t="s">
        <v>822</v>
      </c>
      <c r="Y42" s="12" t="s">
        <v>823</v>
      </c>
      <c r="Z42" s="12" t="s">
        <v>824</v>
      </c>
      <c r="AB42" s="12" t="s">
        <v>158</v>
      </c>
      <c r="AC42" s="12" t="s">
        <v>159</v>
      </c>
      <c r="AG42" s="12" t="s">
        <v>95</v>
      </c>
      <c r="AH42" s="12" t="s">
        <v>160</v>
      </c>
      <c r="AI42" s="12" t="s">
        <v>70</v>
      </c>
      <c r="AJ42" s="12" t="s">
        <v>71</v>
      </c>
      <c r="AK42" s="12" t="s">
        <v>715</v>
      </c>
      <c r="AL42" s="12" t="s">
        <v>72</v>
      </c>
      <c r="AM42" s="12" t="s">
        <v>825</v>
      </c>
      <c r="AN42" s="12">
        <v>1</v>
      </c>
      <c r="AO42" s="12" t="s">
        <v>826</v>
      </c>
      <c r="AS42" s="12">
        <v>0</v>
      </c>
      <c r="AT42" s="12">
        <v>0</v>
      </c>
      <c r="AU42" s="12">
        <v>0</v>
      </c>
      <c r="AV42" s="12">
        <v>0</v>
      </c>
      <c r="AW42" s="12">
        <v>0</v>
      </c>
      <c r="AX42" s="12">
        <v>1</v>
      </c>
    </row>
    <row r="43" spans="1:50" s="13" customFormat="1" ht="15.75" customHeight="1">
      <c r="A43" s="10">
        <v>367</v>
      </c>
      <c r="B43" s="11" t="s">
        <v>75</v>
      </c>
      <c r="C43" s="85" t="s">
        <v>810</v>
      </c>
      <c r="D43" s="26"/>
      <c r="E43" s="26" t="s">
        <v>77</v>
      </c>
      <c r="F43" s="12" t="s">
        <v>827</v>
      </c>
      <c r="G43" s="12" t="s">
        <v>828</v>
      </c>
      <c r="H43" s="12" t="s">
        <v>829</v>
      </c>
      <c r="I43" s="12" t="s">
        <v>830</v>
      </c>
      <c r="J43" s="12">
        <v>2022</v>
      </c>
      <c r="K43" s="12" t="s">
        <v>831</v>
      </c>
      <c r="L43" s="12" t="s">
        <v>206</v>
      </c>
      <c r="M43" s="12" t="s">
        <v>206</v>
      </c>
      <c r="N43" s="12" t="s">
        <v>832</v>
      </c>
      <c r="R43" s="12">
        <v>1</v>
      </c>
      <c r="S43" s="12" t="s">
        <v>833</v>
      </c>
      <c r="T43" s="12" t="s">
        <v>834</v>
      </c>
      <c r="U43" s="12" t="s">
        <v>835</v>
      </c>
      <c r="V43" s="12" t="s">
        <v>836</v>
      </c>
      <c r="W43" s="12" t="s">
        <v>837</v>
      </c>
      <c r="X43" s="12" t="s">
        <v>838</v>
      </c>
      <c r="Y43" s="12" t="s">
        <v>839</v>
      </c>
      <c r="Z43" s="12" t="s">
        <v>840</v>
      </c>
      <c r="AB43" s="12" t="s">
        <v>841</v>
      </c>
      <c r="AC43" s="12" t="s">
        <v>842</v>
      </c>
      <c r="AG43" s="12" t="s">
        <v>95</v>
      </c>
      <c r="AH43" s="12" t="s">
        <v>843</v>
      </c>
      <c r="AI43" s="12" t="s">
        <v>70</v>
      </c>
      <c r="AJ43" s="12" t="s">
        <v>71</v>
      </c>
      <c r="AK43" s="12" t="s">
        <v>139</v>
      </c>
      <c r="AL43" s="12" t="s">
        <v>72</v>
      </c>
      <c r="AM43" s="12" t="s">
        <v>844</v>
      </c>
      <c r="AN43" s="12">
        <v>1</v>
      </c>
      <c r="AO43" s="12" t="s">
        <v>845</v>
      </c>
      <c r="AS43" s="12">
        <v>0</v>
      </c>
      <c r="AT43" s="12">
        <v>0</v>
      </c>
      <c r="AU43" s="12">
        <v>0</v>
      </c>
      <c r="AV43" s="12">
        <v>0</v>
      </c>
      <c r="AW43" s="12">
        <v>0</v>
      </c>
      <c r="AX43" s="12">
        <v>1</v>
      </c>
    </row>
    <row r="44" spans="1:50" s="13" customFormat="1" ht="15.75" customHeight="1">
      <c r="A44" s="10">
        <v>392</v>
      </c>
      <c r="B44" s="11" t="s">
        <v>75</v>
      </c>
      <c r="C44" s="85" t="s">
        <v>810</v>
      </c>
      <c r="D44" s="29"/>
      <c r="E44" s="64" t="s">
        <v>77</v>
      </c>
      <c r="F44" s="12" t="s">
        <v>846</v>
      </c>
      <c r="G44" s="12" t="s">
        <v>847</v>
      </c>
      <c r="H44" s="12" t="s">
        <v>848</v>
      </c>
      <c r="I44" s="12" t="s">
        <v>849</v>
      </c>
      <c r="J44" s="12">
        <v>2022</v>
      </c>
      <c r="K44" s="12" t="s">
        <v>850</v>
      </c>
      <c r="R44" s="12">
        <v>6</v>
      </c>
      <c r="S44" s="12" t="s">
        <v>851</v>
      </c>
      <c r="T44" s="12" t="s">
        <v>852</v>
      </c>
      <c r="U44" s="12" t="s">
        <v>853</v>
      </c>
      <c r="V44" s="12" t="s">
        <v>854</v>
      </c>
      <c r="W44" s="12" t="s">
        <v>855</v>
      </c>
      <c r="X44" s="12" t="s">
        <v>856</v>
      </c>
      <c r="Y44" s="12" t="s">
        <v>857</v>
      </c>
      <c r="AA44" s="12" t="s">
        <v>858</v>
      </c>
      <c r="AB44" s="12" t="s">
        <v>137</v>
      </c>
      <c r="AD44" s="12" t="s">
        <v>859</v>
      </c>
      <c r="AG44" s="12" t="s">
        <v>95</v>
      </c>
      <c r="AH44" s="12" t="s">
        <v>860</v>
      </c>
      <c r="AI44" s="12" t="s">
        <v>253</v>
      </c>
      <c r="AJ44" s="12" t="s">
        <v>71</v>
      </c>
      <c r="AL44" s="12" t="s">
        <v>72</v>
      </c>
      <c r="AM44" s="12" t="s">
        <v>861</v>
      </c>
      <c r="AN44" s="12">
        <v>1</v>
      </c>
      <c r="AO44" s="12" t="s">
        <v>862</v>
      </c>
      <c r="AQ44" s="12">
        <v>1</v>
      </c>
      <c r="AR44" s="12">
        <v>1</v>
      </c>
      <c r="AS44" s="12">
        <v>0</v>
      </c>
      <c r="AT44" s="12">
        <v>0</v>
      </c>
      <c r="AU44" s="12">
        <v>0</v>
      </c>
      <c r="AV44" s="12">
        <v>0</v>
      </c>
    </row>
    <row r="45" spans="1:50" s="17" customFormat="1" ht="15.75" customHeight="1">
      <c r="A45" s="14">
        <v>395</v>
      </c>
      <c r="B45" s="15" t="s">
        <v>75</v>
      </c>
      <c r="C45" s="27"/>
      <c r="D45" s="27" t="s">
        <v>530</v>
      </c>
      <c r="E45" s="27"/>
      <c r="F45" s="16" t="s">
        <v>863</v>
      </c>
      <c r="G45" s="16" t="s">
        <v>864</v>
      </c>
      <c r="H45" s="16" t="s">
        <v>865</v>
      </c>
      <c r="I45" s="16" t="s">
        <v>866</v>
      </c>
      <c r="J45" s="16">
        <v>2022</v>
      </c>
      <c r="K45" s="16" t="s">
        <v>867</v>
      </c>
      <c r="O45" s="16">
        <v>466</v>
      </c>
      <c r="P45" s="16">
        <v>470</v>
      </c>
      <c r="Q45" s="16">
        <v>4</v>
      </c>
      <c r="R45" s="16">
        <v>15</v>
      </c>
      <c r="S45" s="16" t="s">
        <v>868</v>
      </c>
      <c r="T45" s="16" t="s">
        <v>869</v>
      </c>
      <c r="U45" s="16" t="s">
        <v>870</v>
      </c>
      <c r="V45" s="16" t="s">
        <v>871</v>
      </c>
      <c r="W45" s="16" t="s">
        <v>872</v>
      </c>
      <c r="X45" s="16" t="s">
        <v>873</v>
      </c>
      <c r="Y45" s="16" t="s">
        <v>874</v>
      </c>
      <c r="AB45" s="16" t="s">
        <v>137</v>
      </c>
      <c r="AD45" s="16" t="s">
        <v>875</v>
      </c>
      <c r="AG45" s="16" t="s">
        <v>95</v>
      </c>
      <c r="AH45" s="16" t="s">
        <v>876</v>
      </c>
      <c r="AI45" s="16" t="s">
        <v>253</v>
      </c>
      <c r="AJ45" s="16" t="s">
        <v>71</v>
      </c>
      <c r="AL45" s="16" t="s">
        <v>72</v>
      </c>
      <c r="AM45" s="16" t="s">
        <v>877</v>
      </c>
      <c r="AN45" s="16">
        <v>1</v>
      </c>
      <c r="AO45" s="16" t="s">
        <v>878</v>
      </c>
      <c r="AS45" s="16">
        <v>0</v>
      </c>
      <c r="AT45" s="16">
        <v>0</v>
      </c>
      <c r="AU45" s="16">
        <v>0</v>
      </c>
      <c r="AV45" s="16">
        <v>0</v>
      </c>
      <c r="AW45" s="16">
        <v>0</v>
      </c>
      <c r="AX45" s="16">
        <v>1</v>
      </c>
    </row>
    <row r="46" spans="1:50" s="17" customFormat="1" ht="15.75" customHeight="1">
      <c r="A46" s="14">
        <v>400</v>
      </c>
      <c r="B46" s="15" t="s">
        <v>466</v>
      </c>
      <c r="C46" s="27"/>
      <c r="D46" s="27" t="s">
        <v>467</v>
      </c>
      <c r="E46" s="27"/>
      <c r="F46" s="16" t="s">
        <v>879</v>
      </c>
      <c r="G46" s="16" t="s">
        <v>880</v>
      </c>
      <c r="H46" s="16" t="s">
        <v>881</v>
      </c>
      <c r="I46" s="16" t="s">
        <v>882</v>
      </c>
      <c r="J46" s="16">
        <v>2021</v>
      </c>
      <c r="K46" s="16" t="s">
        <v>883</v>
      </c>
      <c r="L46" s="16" t="s">
        <v>832</v>
      </c>
      <c r="M46" s="16" t="s">
        <v>884</v>
      </c>
      <c r="O46" s="16">
        <v>33</v>
      </c>
      <c r="R46" s="16">
        <v>0</v>
      </c>
      <c r="T46" s="16" t="s">
        <v>885</v>
      </c>
      <c r="U46" s="16" t="s">
        <v>886</v>
      </c>
      <c r="V46" s="16" t="s">
        <v>887</v>
      </c>
      <c r="W46" s="16" t="s">
        <v>888</v>
      </c>
      <c r="Y46" s="16" t="s">
        <v>889</v>
      </c>
      <c r="AB46" s="16" t="s">
        <v>890</v>
      </c>
      <c r="AC46" s="16" t="s">
        <v>891</v>
      </c>
      <c r="AG46" s="16" t="s">
        <v>95</v>
      </c>
      <c r="AH46" s="16" t="s">
        <v>892</v>
      </c>
      <c r="AI46" s="16" t="s">
        <v>70</v>
      </c>
      <c r="AJ46" s="16" t="s">
        <v>71</v>
      </c>
      <c r="AL46" s="16" t="s">
        <v>72</v>
      </c>
      <c r="AM46" s="16" t="s">
        <v>893</v>
      </c>
      <c r="AN46" s="16">
        <v>1</v>
      </c>
      <c r="AO46" s="16" t="s">
        <v>894</v>
      </c>
      <c r="AS46" s="16">
        <v>0</v>
      </c>
      <c r="AT46" s="16">
        <v>0</v>
      </c>
      <c r="AU46" s="16">
        <v>0</v>
      </c>
      <c r="AV46" s="16">
        <v>0</v>
      </c>
      <c r="AW46" s="16">
        <v>0</v>
      </c>
      <c r="AX46" s="16">
        <v>1</v>
      </c>
    </row>
    <row r="47" spans="1:50" s="17" customFormat="1" ht="15.75" customHeight="1">
      <c r="A47" s="14">
        <v>408</v>
      </c>
      <c r="B47" s="15" t="s">
        <v>75</v>
      </c>
      <c r="C47" s="27"/>
      <c r="D47" s="27" t="s">
        <v>895</v>
      </c>
      <c r="E47" s="27"/>
      <c r="F47" s="16" t="s">
        <v>896</v>
      </c>
      <c r="G47" s="16" t="s">
        <v>897</v>
      </c>
      <c r="H47" s="16" t="s">
        <v>898</v>
      </c>
      <c r="I47" s="16" t="s">
        <v>899</v>
      </c>
      <c r="J47" s="16">
        <v>2021</v>
      </c>
      <c r="K47" s="16" t="s">
        <v>738</v>
      </c>
      <c r="L47" s="16" t="s">
        <v>900</v>
      </c>
      <c r="N47" s="16" t="s">
        <v>901</v>
      </c>
      <c r="R47" s="16">
        <v>13</v>
      </c>
      <c r="S47" s="16" t="s">
        <v>902</v>
      </c>
      <c r="T47" s="16" t="s">
        <v>903</v>
      </c>
      <c r="U47" s="16" t="s">
        <v>904</v>
      </c>
      <c r="V47" s="16" t="s">
        <v>905</v>
      </c>
      <c r="W47" s="16" t="s">
        <v>906</v>
      </c>
      <c r="X47" s="16" t="s">
        <v>907</v>
      </c>
      <c r="Y47" s="16" t="s">
        <v>908</v>
      </c>
      <c r="Z47" s="16" t="s">
        <v>909</v>
      </c>
      <c r="AB47" s="16" t="s">
        <v>116</v>
      </c>
      <c r="AC47" s="16" t="s">
        <v>749</v>
      </c>
      <c r="AG47" s="16" t="s">
        <v>95</v>
      </c>
      <c r="AH47" s="16" t="s">
        <v>750</v>
      </c>
      <c r="AI47" s="16" t="s">
        <v>70</v>
      </c>
      <c r="AJ47" s="16" t="s">
        <v>71</v>
      </c>
      <c r="AK47" s="16" t="s">
        <v>97</v>
      </c>
      <c r="AL47" s="16" t="s">
        <v>72</v>
      </c>
      <c r="AM47" s="16" t="s">
        <v>910</v>
      </c>
      <c r="AN47" s="16">
        <v>1</v>
      </c>
      <c r="AO47" s="16" t="s">
        <v>911</v>
      </c>
      <c r="AQ47" s="16">
        <v>1</v>
      </c>
      <c r="AR47" s="16">
        <v>1</v>
      </c>
      <c r="AS47" s="16">
        <v>0</v>
      </c>
      <c r="AT47" s="16">
        <v>0</v>
      </c>
      <c r="AU47" s="16">
        <v>0</v>
      </c>
      <c r="AV47" s="16">
        <v>0</v>
      </c>
    </row>
    <row r="48" spans="1:50" s="13" customFormat="1" ht="15.75" customHeight="1">
      <c r="A48" s="10">
        <v>423</v>
      </c>
      <c r="B48" s="11" t="s">
        <v>75</v>
      </c>
      <c r="C48" s="85" t="s">
        <v>912</v>
      </c>
      <c r="D48" s="26"/>
      <c r="E48" s="26" t="s">
        <v>77</v>
      </c>
      <c r="F48" s="12" t="s">
        <v>913</v>
      </c>
      <c r="G48" s="12" t="s">
        <v>914</v>
      </c>
      <c r="H48" s="12" t="s">
        <v>915</v>
      </c>
      <c r="I48" s="65" t="s">
        <v>916</v>
      </c>
      <c r="J48" s="12">
        <v>2021</v>
      </c>
      <c r="K48" s="12" t="s">
        <v>917</v>
      </c>
      <c r="O48" s="12">
        <v>117</v>
      </c>
      <c r="P48" s="12">
        <v>127</v>
      </c>
      <c r="Q48" s="12">
        <v>10</v>
      </c>
      <c r="R48" s="12">
        <v>0</v>
      </c>
      <c r="S48" s="12" t="s">
        <v>918</v>
      </c>
      <c r="T48" s="12" t="s">
        <v>919</v>
      </c>
      <c r="U48" s="12" t="s">
        <v>920</v>
      </c>
      <c r="V48" s="12" t="s">
        <v>921</v>
      </c>
      <c r="W48" s="12" t="s">
        <v>922</v>
      </c>
      <c r="X48" s="12" t="s">
        <v>923</v>
      </c>
      <c r="Y48" s="12" t="s">
        <v>924</v>
      </c>
      <c r="AB48" s="12" t="s">
        <v>137</v>
      </c>
      <c r="AD48" s="12" t="s">
        <v>925</v>
      </c>
      <c r="AG48" s="12" t="s">
        <v>95</v>
      </c>
      <c r="AH48" s="12" t="s">
        <v>926</v>
      </c>
      <c r="AI48" s="12" t="s">
        <v>253</v>
      </c>
      <c r="AJ48" s="12" t="s">
        <v>71</v>
      </c>
      <c r="AL48" s="12" t="s">
        <v>72</v>
      </c>
      <c r="AM48" s="12" t="s">
        <v>927</v>
      </c>
      <c r="AN48" s="12">
        <v>1</v>
      </c>
      <c r="AO48" s="12" t="s">
        <v>928</v>
      </c>
      <c r="AS48" s="12">
        <v>0</v>
      </c>
      <c r="AT48" s="12">
        <v>0</v>
      </c>
      <c r="AU48" s="12">
        <v>0</v>
      </c>
      <c r="AV48" s="12">
        <v>0</v>
      </c>
      <c r="AW48" s="12">
        <v>1</v>
      </c>
      <c r="AX48" s="12">
        <v>0</v>
      </c>
    </row>
    <row r="49" spans="1:50" s="13" customFormat="1" ht="33.75" customHeight="1">
      <c r="A49" s="10">
        <v>427</v>
      </c>
      <c r="B49" s="11" t="s">
        <v>75</v>
      </c>
      <c r="C49" s="86" t="s">
        <v>929</v>
      </c>
      <c r="D49" s="26"/>
      <c r="E49" s="26" t="s">
        <v>77</v>
      </c>
      <c r="F49" s="12" t="s">
        <v>930</v>
      </c>
      <c r="G49" s="12" t="s">
        <v>931</v>
      </c>
      <c r="H49" s="12" t="s">
        <v>932</v>
      </c>
      <c r="I49" s="12" t="s">
        <v>933</v>
      </c>
      <c r="J49" s="12">
        <v>2021</v>
      </c>
      <c r="K49" s="12" t="s">
        <v>934</v>
      </c>
      <c r="O49" s="12">
        <v>385</v>
      </c>
      <c r="P49" s="12">
        <v>402</v>
      </c>
      <c r="Q49" s="12">
        <v>17</v>
      </c>
      <c r="R49" s="12">
        <v>24</v>
      </c>
      <c r="S49" s="12" t="s">
        <v>935</v>
      </c>
      <c r="T49" s="12" t="s">
        <v>936</v>
      </c>
      <c r="U49" s="12" t="s">
        <v>937</v>
      </c>
      <c r="V49" s="12" t="s">
        <v>938</v>
      </c>
      <c r="W49" s="12" t="s">
        <v>939</v>
      </c>
      <c r="X49" s="12" t="s">
        <v>940</v>
      </c>
      <c r="Y49" s="12" t="s">
        <v>941</v>
      </c>
      <c r="AB49" s="12" t="s">
        <v>137</v>
      </c>
      <c r="AD49" s="12" t="s">
        <v>942</v>
      </c>
      <c r="AG49" s="12" t="s">
        <v>95</v>
      </c>
      <c r="AH49" s="12" t="s">
        <v>943</v>
      </c>
      <c r="AI49" s="12" t="s">
        <v>253</v>
      </c>
      <c r="AJ49" s="12" t="s">
        <v>71</v>
      </c>
      <c r="AK49" s="12" t="s">
        <v>715</v>
      </c>
      <c r="AL49" s="12" t="s">
        <v>72</v>
      </c>
      <c r="AM49" s="12" t="s">
        <v>944</v>
      </c>
      <c r="AN49" s="12">
        <v>1</v>
      </c>
      <c r="AO49" s="12" t="s">
        <v>945</v>
      </c>
      <c r="AS49" s="12">
        <v>0</v>
      </c>
      <c r="AT49" s="12">
        <v>0</v>
      </c>
      <c r="AU49" s="12">
        <v>0</v>
      </c>
      <c r="AV49" s="12">
        <v>0</v>
      </c>
      <c r="AW49" s="12">
        <v>0</v>
      </c>
      <c r="AX49" s="12">
        <v>1</v>
      </c>
    </row>
    <row r="50" spans="1:50" s="17" customFormat="1" ht="15.75" customHeight="1">
      <c r="A50" s="14">
        <v>446</v>
      </c>
      <c r="B50" s="15" t="s">
        <v>75</v>
      </c>
      <c r="C50" s="27"/>
      <c r="D50" s="9" t="s">
        <v>428</v>
      </c>
      <c r="E50" s="9"/>
      <c r="F50" s="16" t="s">
        <v>946</v>
      </c>
      <c r="G50" s="16" t="s">
        <v>947</v>
      </c>
      <c r="H50" s="16" t="s">
        <v>948</v>
      </c>
      <c r="I50" s="16" t="s">
        <v>949</v>
      </c>
      <c r="J50" s="16">
        <v>2021</v>
      </c>
      <c r="K50" s="16" t="s">
        <v>950</v>
      </c>
      <c r="O50" s="16">
        <v>412</v>
      </c>
      <c r="P50" s="16">
        <v>418</v>
      </c>
      <c r="Q50" s="16">
        <v>6</v>
      </c>
      <c r="R50" s="16">
        <v>5</v>
      </c>
      <c r="S50" s="16" t="s">
        <v>951</v>
      </c>
      <c r="T50" s="16" t="s">
        <v>952</v>
      </c>
      <c r="U50" s="16" t="s">
        <v>953</v>
      </c>
      <c r="V50" s="16" t="s">
        <v>954</v>
      </c>
      <c r="W50" s="16" t="s">
        <v>955</v>
      </c>
      <c r="Y50" s="16" t="s">
        <v>956</v>
      </c>
      <c r="AB50" s="16" t="s">
        <v>137</v>
      </c>
      <c r="AD50" s="16" t="s">
        <v>957</v>
      </c>
      <c r="AG50" s="16" t="s">
        <v>95</v>
      </c>
      <c r="AH50" s="16" t="s">
        <v>958</v>
      </c>
      <c r="AI50" s="16" t="s">
        <v>253</v>
      </c>
      <c r="AJ50" s="16" t="s">
        <v>71</v>
      </c>
      <c r="AK50" s="16" t="s">
        <v>715</v>
      </c>
      <c r="AL50" s="16" t="s">
        <v>72</v>
      </c>
      <c r="AM50" s="16" t="s">
        <v>959</v>
      </c>
      <c r="AN50" s="16">
        <v>1</v>
      </c>
      <c r="AO50" s="16" t="s">
        <v>960</v>
      </c>
      <c r="AS50" s="16">
        <v>0</v>
      </c>
      <c r="AT50" s="16">
        <v>0</v>
      </c>
      <c r="AU50" s="16">
        <v>0</v>
      </c>
      <c r="AV50" s="16">
        <v>0</v>
      </c>
      <c r="AW50" s="16">
        <v>0</v>
      </c>
      <c r="AX50" s="16">
        <v>1</v>
      </c>
    </row>
    <row r="51" spans="1:50" s="13" customFormat="1" ht="15.75" customHeight="1">
      <c r="A51" s="10">
        <v>448</v>
      </c>
      <c r="B51" s="11" t="s">
        <v>75</v>
      </c>
      <c r="C51" s="22" t="s">
        <v>961</v>
      </c>
      <c r="D51" s="26"/>
      <c r="E51" s="26" t="s">
        <v>77</v>
      </c>
      <c r="F51" s="12" t="s">
        <v>962</v>
      </c>
      <c r="G51" s="12" t="s">
        <v>963</v>
      </c>
      <c r="H51" s="12" t="s">
        <v>964</v>
      </c>
      <c r="I51" s="12" t="s">
        <v>965</v>
      </c>
      <c r="J51" s="12">
        <v>2021</v>
      </c>
      <c r="K51" s="12" t="s">
        <v>966</v>
      </c>
      <c r="O51" s="12">
        <v>63</v>
      </c>
      <c r="P51" s="12">
        <v>68</v>
      </c>
      <c r="Q51" s="12">
        <v>5</v>
      </c>
      <c r="R51" s="12">
        <v>5</v>
      </c>
      <c r="S51" s="12" t="s">
        <v>967</v>
      </c>
      <c r="T51" s="12" t="s">
        <v>968</v>
      </c>
      <c r="U51" s="12" t="s">
        <v>969</v>
      </c>
      <c r="V51" s="12" t="s">
        <v>970</v>
      </c>
      <c r="W51" s="12" t="s">
        <v>971</v>
      </c>
      <c r="X51" s="12" t="s">
        <v>972</v>
      </c>
      <c r="Y51" s="12" t="s">
        <v>973</v>
      </c>
      <c r="AB51" s="12" t="s">
        <v>269</v>
      </c>
      <c r="AD51" s="12" t="s">
        <v>974</v>
      </c>
      <c r="AG51" s="12" t="s">
        <v>95</v>
      </c>
      <c r="AH51" s="12" t="s">
        <v>975</v>
      </c>
      <c r="AI51" s="12" t="s">
        <v>253</v>
      </c>
      <c r="AJ51" s="12" t="s">
        <v>71</v>
      </c>
      <c r="AK51" s="12" t="s">
        <v>715</v>
      </c>
      <c r="AL51" s="12" t="s">
        <v>72</v>
      </c>
      <c r="AM51" s="12" t="s">
        <v>976</v>
      </c>
      <c r="AN51" s="12">
        <v>1</v>
      </c>
      <c r="AO51" s="12" t="s">
        <v>977</v>
      </c>
      <c r="AS51" s="12">
        <v>0</v>
      </c>
      <c r="AT51" s="12">
        <v>0</v>
      </c>
      <c r="AU51" s="12">
        <v>0</v>
      </c>
      <c r="AV51" s="12">
        <v>0</v>
      </c>
      <c r="AW51" s="12">
        <v>0</v>
      </c>
      <c r="AX51" s="12">
        <v>1</v>
      </c>
    </row>
    <row r="52" spans="1:50" s="13" customFormat="1" ht="15.75" customHeight="1">
      <c r="A52" s="10">
        <v>450</v>
      </c>
      <c r="B52" s="11" t="s">
        <v>75</v>
      </c>
      <c r="C52" s="87" t="s">
        <v>978</v>
      </c>
      <c r="D52" s="26"/>
      <c r="E52" s="26" t="s">
        <v>77</v>
      </c>
      <c r="F52" s="23" t="s">
        <v>979</v>
      </c>
      <c r="G52" s="23" t="s">
        <v>980</v>
      </c>
      <c r="H52" s="23" t="s">
        <v>981</v>
      </c>
      <c r="I52" s="23" t="s">
        <v>982</v>
      </c>
      <c r="J52" s="23">
        <v>2021</v>
      </c>
      <c r="K52" s="23" t="s">
        <v>983</v>
      </c>
      <c r="L52" s="23" t="s">
        <v>184</v>
      </c>
      <c r="M52" s="23" t="s">
        <v>984</v>
      </c>
      <c r="N52" s="24"/>
      <c r="O52" s="24"/>
      <c r="P52" s="24"/>
      <c r="Q52" s="24"/>
      <c r="R52" s="23">
        <v>25</v>
      </c>
      <c r="S52" s="23" t="s">
        <v>985</v>
      </c>
      <c r="T52" s="23" t="s">
        <v>986</v>
      </c>
      <c r="U52" s="23" t="s">
        <v>987</v>
      </c>
      <c r="V52" s="23" t="s">
        <v>988</v>
      </c>
      <c r="W52" s="23" t="s">
        <v>989</v>
      </c>
      <c r="X52" s="23" t="s">
        <v>990</v>
      </c>
      <c r="Y52" s="23" t="s">
        <v>991</v>
      </c>
      <c r="Z52" s="23" t="s">
        <v>992</v>
      </c>
      <c r="AA52" s="24"/>
      <c r="AB52" s="23" t="s">
        <v>993</v>
      </c>
      <c r="AC52" s="23" t="s">
        <v>994</v>
      </c>
      <c r="AD52" s="24"/>
      <c r="AE52" s="24"/>
      <c r="AF52" s="24"/>
      <c r="AG52" s="23" t="s">
        <v>95</v>
      </c>
      <c r="AH52" s="23" t="s">
        <v>995</v>
      </c>
      <c r="AI52" s="23" t="s">
        <v>70</v>
      </c>
      <c r="AJ52" s="23" t="s">
        <v>71</v>
      </c>
      <c r="AK52" s="24"/>
      <c r="AL52" s="23" t="s">
        <v>72</v>
      </c>
      <c r="AM52" s="23" t="s">
        <v>996</v>
      </c>
      <c r="AN52" s="23">
        <v>1</v>
      </c>
      <c r="AO52" s="23" t="s">
        <v>997</v>
      </c>
      <c r="AP52" s="24"/>
      <c r="AQ52" s="24"/>
      <c r="AR52" s="24"/>
      <c r="AS52" s="23">
        <v>0</v>
      </c>
      <c r="AT52" s="23">
        <v>0</v>
      </c>
      <c r="AU52" s="23">
        <v>0</v>
      </c>
      <c r="AV52" s="23">
        <v>0</v>
      </c>
      <c r="AW52" s="23">
        <v>0</v>
      </c>
      <c r="AX52" s="23">
        <v>1</v>
      </c>
    </row>
    <row r="53" spans="1:50" s="17" customFormat="1" ht="15.75" customHeight="1">
      <c r="A53" s="14">
        <v>452</v>
      </c>
      <c r="B53" s="15" t="s">
        <v>75</v>
      </c>
      <c r="C53" s="27"/>
      <c r="D53" s="27" t="s">
        <v>895</v>
      </c>
      <c r="E53" s="27"/>
      <c r="F53" s="16" t="s">
        <v>998</v>
      </c>
      <c r="G53" s="16" t="s">
        <v>999</v>
      </c>
      <c r="H53" s="16" t="s">
        <v>1000</v>
      </c>
      <c r="I53" s="16" t="s">
        <v>1001</v>
      </c>
      <c r="J53" s="16">
        <v>2021</v>
      </c>
      <c r="K53" s="16" t="s">
        <v>1002</v>
      </c>
      <c r="L53" s="16" t="s">
        <v>1003</v>
      </c>
      <c r="M53" s="16" t="s">
        <v>185</v>
      </c>
      <c r="O53" s="16">
        <v>607</v>
      </c>
      <c r="P53" s="16">
        <v>627</v>
      </c>
      <c r="Q53" s="16">
        <v>20</v>
      </c>
      <c r="R53" s="16">
        <v>19</v>
      </c>
      <c r="S53" s="16" t="s">
        <v>1004</v>
      </c>
      <c r="T53" s="16" t="s">
        <v>1005</v>
      </c>
      <c r="U53" s="16" t="s">
        <v>1006</v>
      </c>
      <c r="V53" s="16" t="s">
        <v>1007</v>
      </c>
      <c r="W53" s="16" t="s">
        <v>1008</v>
      </c>
      <c r="X53" s="16" t="s">
        <v>1009</v>
      </c>
      <c r="Y53" s="16" t="s">
        <v>1010</v>
      </c>
      <c r="Z53" s="16" t="s">
        <v>1011</v>
      </c>
      <c r="AB53" s="16" t="s">
        <v>1012</v>
      </c>
      <c r="AC53" s="16" t="s">
        <v>1013</v>
      </c>
      <c r="AE53" s="16" t="s">
        <v>1014</v>
      </c>
      <c r="AG53" s="16" t="s">
        <v>95</v>
      </c>
      <c r="AH53" s="16" t="s">
        <v>1015</v>
      </c>
      <c r="AI53" s="16" t="s">
        <v>253</v>
      </c>
      <c r="AJ53" s="16" t="s">
        <v>71</v>
      </c>
      <c r="AL53" s="16" t="s">
        <v>72</v>
      </c>
      <c r="AM53" s="16" t="s">
        <v>1016</v>
      </c>
      <c r="AN53" s="16">
        <v>1</v>
      </c>
      <c r="AO53" s="16" t="s">
        <v>1017</v>
      </c>
      <c r="AS53" s="16">
        <v>0</v>
      </c>
      <c r="AT53" s="16">
        <v>0</v>
      </c>
      <c r="AU53" s="16">
        <v>0</v>
      </c>
      <c r="AV53" s="16">
        <v>0</v>
      </c>
      <c r="AW53" s="16">
        <v>0</v>
      </c>
      <c r="AX53" s="16">
        <v>1</v>
      </c>
    </row>
    <row r="54" spans="1:50" s="13" customFormat="1" ht="15.75" customHeight="1">
      <c r="A54" s="10">
        <v>454</v>
      </c>
      <c r="B54" s="11" t="s">
        <v>75</v>
      </c>
      <c r="C54" s="22" t="s">
        <v>1018</v>
      </c>
      <c r="D54" s="26"/>
      <c r="E54" s="26" t="s">
        <v>77</v>
      </c>
      <c r="F54" s="12" t="s">
        <v>1019</v>
      </c>
      <c r="G54" s="12" t="s">
        <v>1020</v>
      </c>
      <c r="H54" s="12" t="s">
        <v>1021</v>
      </c>
      <c r="I54" s="12" t="s">
        <v>1022</v>
      </c>
      <c r="J54" s="12">
        <v>2021</v>
      </c>
      <c r="K54" s="12" t="s">
        <v>1023</v>
      </c>
      <c r="O54" s="12">
        <v>383</v>
      </c>
      <c r="P54" s="12">
        <v>397</v>
      </c>
      <c r="Q54" s="12">
        <v>14</v>
      </c>
      <c r="R54" s="12">
        <v>40</v>
      </c>
      <c r="S54" s="12" t="s">
        <v>1024</v>
      </c>
      <c r="T54" s="12" t="s">
        <v>1025</v>
      </c>
      <c r="U54" s="12" t="s">
        <v>1026</v>
      </c>
      <c r="V54" s="12" t="s">
        <v>1027</v>
      </c>
      <c r="W54" s="12" t="s">
        <v>1028</v>
      </c>
      <c r="X54" s="12" t="s">
        <v>1029</v>
      </c>
      <c r="Y54" s="12" t="s">
        <v>1030</v>
      </c>
      <c r="AB54" s="12" t="s">
        <v>137</v>
      </c>
      <c r="AD54" s="12" t="s">
        <v>1031</v>
      </c>
      <c r="AG54" s="12" t="s">
        <v>95</v>
      </c>
      <c r="AH54" s="12" t="s">
        <v>1032</v>
      </c>
      <c r="AI54" s="12" t="s">
        <v>253</v>
      </c>
      <c r="AJ54" s="12" t="s">
        <v>71</v>
      </c>
      <c r="AL54" s="12" t="s">
        <v>72</v>
      </c>
      <c r="AM54" s="12" t="s">
        <v>1033</v>
      </c>
      <c r="AN54" s="12">
        <v>1</v>
      </c>
      <c r="AO54" s="12" t="s">
        <v>1034</v>
      </c>
      <c r="AS54" s="12">
        <v>0</v>
      </c>
      <c r="AT54" s="12">
        <v>0</v>
      </c>
      <c r="AU54" s="12">
        <v>0</v>
      </c>
      <c r="AV54" s="12">
        <v>0</v>
      </c>
      <c r="AW54" s="12">
        <v>0</v>
      </c>
      <c r="AX54" s="12">
        <v>1</v>
      </c>
    </row>
    <row r="55" spans="1:50" s="17" customFormat="1" ht="15.75" customHeight="1">
      <c r="A55" s="14">
        <v>460</v>
      </c>
      <c r="B55" s="15" t="s">
        <v>75</v>
      </c>
      <c r="C55" s="27"/>
      <c r="D55" s="27" t="s">
        <v>895</v>
      </c>
      <c r="E55" s="27"/>
      <c r="F55" s="16" t="s">
        <v>1035</v>
      </c>
      <c r="G55" s="16" t="s">
        <v>1036</v>
      </c>
      <c r="H55" s="16" t="s">
        <v>1037</v>
      </c>
      <c r="I55" s="16" t="s">
        <v>1038</v>
      </c>
      <c r="J55" s="16">
        <v>2020</v>
      </c>
      <c r="K55" s="16" t="s">
        <v>1039</v>
      </c>
      <c r="N55" s="16" t="s">
        <v>1040</v>
      </c>
      <c r="O55" s="16">
        <v>480</v>
      </c>
      <c r="P55" s="16">
        <v>495</v>
      </c>
      <c r="Q55" s="16">
        <v>15</v>
      </c>
      <c r="R55" s="16">
        <v>48</v>
      </c>
      <c r="S55" s="16" t="s">
        <v>1041</v>
      </c>
      <c r="T55" s="16" t="s">
        <v>1042</v>
      </c>
      <c r="U55" s="16" t="s">
        <v>1043</v>
      </c>
      <c r="V55" s="16" t="s">
        <v>1044</v>
      </c>
      <c r="W55" s="16" t="s">
        <v>1045</v>
      </c>
      <c r="X55" s="16" t="s">
        <v>1046</v>
      </c>
      <c r="Y55" s="16" t="s">
        <v>1047</v>
      </c>
      <c r="AB55" s="16" t="s">
        <v>1048</v>
      </c>
      <c r="AD55" s="16" t="s">
        <v>1049</v>
      </c>
      <c r="AG55" s="16" t="s">
        <v>95</v>
      </c>
      <c r="AH55" s="16" t="s">
        <v>1050</v>
      </c>
      <c r="AI55" s="16" t="s">
        <v>253</v>
      </c>
      <c r="AJ55" s="16" t="s">
        <v>71</v>
      </c>
      <c r="AK55" s="16" t="s">
        <v>715</v>
      </c>
      <c r="AL55" s="16" t="s">
        <v>72</v>
      </c>
      <c r="AM55" s="16" t="s">
        <v>1051</v>
      </c>
      <c r="AN55" s="16">
        <v>1</v>
      </c>
      <c r="AO55" s="16" t="s">
        <v>1052</v>
      </c>
      <c r="AS55" s="16">
        <v>0</v>
      </c>
      <c r="AT55" s="16">
        <v>0</v>
      </c>
      <c r="AU55" s="16">
        <v>0</v>
      </c>
      <c r="AV55" s="16">
        <v>0</v>
      </c>
      <c r="AW55" s="16">
        <v>0</v>
      </c>
      <c r="AX55" s="16">
        <v>1</v>
      </c>
    </row>
    <row r="56" spans="1:50" s="13" customFormat="1" ht="28.5" customHeight="1">
      <c r="A56" s="10">
        <v>465</v>
      </c>
      <c r="B56" s="11" t="s">
        <v>75</v>
      </c>
      <c r="C56" s="87" t="s">
        <v>1053</v>
      </c>
      <c r="D56" s="26"/>
      <c r="E56" s="26" t="s">
        <v>77</v>
      </c>
      <c r="F56" s="12" t="s">
        <v>1054</v>
      </c>
      <c r="G56" s="12" t="s">
        <v>1055</v>
      </c>
      <c r="H56" s="12" t="s">
        <v>1056</v>
      </c>
      <c r="I56" s="12" t="s">
        <v>1057</v>
      </c>
      <c r="J56" s="12">
        <v>2021</v>
      </c>
      <c r="K56" s="12" t="s">
        <v>1058</v>
      </c>
      <c r="R56" s="12">
        <v>7</v>
      </c>
      <c r="S56" s="12" t="s">
        <v>1059</v>
      </c>
      <c r="T56" s="12" t="s">
        <v>1060</v>
      </c>
      <c r="U56" s="12" t="s">
        <v>1061</v>
      </c>
      <c r="V56" s="12" t="s">
        <v>1062</v>
      </c>
      <c r="W56" s="12" t="s">
        <v>1063</v>
      </c>
      <c r="X56" s="12" t="s">
        <v>1064</v>
      </c>
      <c r="Y56" s="12" t="s">
        <v>1065</v>
      </c>
      <c r="AB56" s="12" t="s">
        <v>137</v>
      </c>
      <c r="AD56" s="12" t="s">
        <v>1066</v>
      </c>
      <c r="AG56" s="12" t="s">
        <v>95</v>
      </c>
      <c r="AH56" s="12" t="s">
        <v>1067</v>
      </c>
      <c r="AI56" s="12" t="s">
        <v>253</v>
      </c>
      <c r="AJ56" s="12" t="s">
        <v>71</v>
      </c>
      <c r="AL56" s="12" t="s">
        <v>72</v>
      </c>
      <c r="AM56" s="12" t="s">
        <v>1068</v>
      </c>
      <c r="AN56" s="12">
        <v>1</v>
      </c>
      <c r="AO56" s="12" t="s">
        <v>1069</v>
      </c>
      <c r="AQ56" s="12">
        <v>0</v>
      </c>
      <c r="AR56" s="12">
        <v>1</v>
      </c>
      <c r="AS56" s="12">
        <v>0</v>
      </c>
      <c r="AT56" s="12">
        <v>0</v>
      </c>
      <c r="AU56" s="12">
        <v>0</v>
      </c>
      <c r="AV56" s="12">
        <v>0</v>
      </c>
    </row>
    <row r="57" spans="1:50" s="13" customFormat="1" ht="15.75" customHeight="1">
      <c r="A57" s="10">
        <v>466</v>
      </c>
      <c r="B57" s="11" t="s">
        <v>75</v>
      </c>
      <c r="C57" s="22" t="s">
        <v>1018</v>
      </c>
      <c r="D57" s="26"/>
      <c r="E57" s="26" t="s">
        <v>77</v>
      </c>
      <c r="F57" s="12" t="s">
        <v>1070</v>
      </c>
      <c r="G57" s="12" t="s">
        <v>1071</v>
      </c>
      <c r="H57" s="12" t="s">
        <v>1072</v>
      </c>
      <c r="I57" s="12" t="s">
        <v>1073</v>
      </c>
      <c r="J57" s="12">
        <v>2021</v>
      </c>
      <c r="K57" s="12" t="s">
        <v>1074</v>
      </c>
      <c r="R57" s="12">
        <v>12</v>
      </c>
      <c r="S57" s="12" t="s">
        <v>1075</v>
      </c>
      <c r="T57" s="12" t="s">
        <v>1076</v>
      </c>
      <c r="U57" s="12" t="s">
        <v>1077</v>
      </c>
      <c r="V57" s="12" t="s">
        <v>1078</v>
      </c>
      <c r="W57" s="12" t="s">
        <v>1079</v>
      </c>
      <c r="X57" s="12" t="s">
        <v>1080</v>
      </c>
      <c r="Y57" s="12" t="s">
        <v>1081</v>
      </c>
      <c r="AA57" s="12" t="s">
        <v>1082</v>
      </c>
      <c r="AB57" s="12" t="s">
        <v>137</v>
      </c>
      <c r="AD57" s="12" t="s">
        <v>1083</v>
      </c>
      <c r="AG57" s="12" t="s">
        <v>95</v>
      </c>
      <c r="AH57" s="12" t="s">
        <v>1084</v>
      </c>
      <c r="AI57" s="12" t="s">
        <v>253</v>
      </c>
      <c r="AJ57" s="12" t="s">
        <v>71</v>
      </c>
      <c r="AL57" s="12" t="s">
        <v>72</v>
      </c>
      <c r="AM57" s="12" t="s">
        <v>1085</v>
      </c>
      <c r="AN57" s="12">
        <v>1</v>
      </c>
      <c r="AO57" s="12" t="s">
        <v>1086</v>
      </c>
      <c r="AS57" s="12">
        <v>0</v>
      </c>
      <c r="AT57" s="12">
        <v>0</v>
      </c>
      <c r="AU57" s="12">
        <v>0</v>
      </c>
      <c r="AV57" s="12">
        <v>0</v>
      </c>
      <c r="AW57" s="12">
        <v>0</v>
      </c>
      <c r="AX57" s="12">
        <v>1</v>
      </c>
    </row>
    <row r="58" spans="1:50" s="17" customFormat="1" ht="15.75" customHeight="1">
      <c r="A58" s="14">
        <v>480</v>
      </c>
      <c r="B58" s="15" t="s">
        <v>75</v>
      </c>
      <c r="C58" s="27"/>
      <c r="D58" s="27" t="s">
        <v>895</v>
      </c>
      <c r="E58" s="27"/>
      <c r="F58" s="16" t="s">
        <v>1087</v>
      </c>
      <c r="G58" s="16" t="s">
        <v>1088</v>
      </c>
      <c r="H58" s="16" t="s">
        <v>1089</v>
      </c>
      <c r="I58" s="16" t="s">
        <v>1090</v>
      </c>
      <c r="J58" s="16">
        <v>2021</v>
      </c>
      <c r="K58" s="16" t="s">
        <v>147</v>
      </c>
      <c r="L58" s="16" t="s">
        <v>1091</v>
      </c>
      <c r="N58" s="16" t="s">
        <v>1092</v>
      </c>
      <c r="R58" s="16">
        <v>26</v>
      </c>
      <c r="S58" s="16" t="s">
        <v>1093</v>
      </c>
      <c r="T58" s="16" t="s">
        <v>1094</v>
      </c>
      <c r="U58" s="16" t="s">
        <v>1095</v>
      </c>
      <c r="V58" s="16" t="s">
        <v>1096</v>
      </c>
      <c r="W58" s="16" t="s">
        <v>1097</v>
      </c>
      <c r="X58" s="16" t="s">
        <v>1098</v>
      </c>
      <c r="Y58" s="16" t="s">
        <v>1099</v>
      </c>
      <c r="Z58" s="16" t="s">
        <v>1100</v>
      </c>
      <c r="AB58" s="16" t="s">
        <v>158</v>
      </c>
      <c r="AC58" s="16" t="s">
        <v>159</v>
      </c>
      <c r="AG58" s="16" t="s">
        <v>95</v>
      </c>
      <c r="AH58" s="16" t="s">
        <v>160</v>
      </c>
      <c r="AI58" s="16" t="s">
        <v>70</v>
      </c>
      <c r="AJ58" s="16" t="s">
        <v>71</v>
      </c>
      <c r="AK58" s="16" t="s">
        <v>715</v>
      </c>
      <c r="AL58" s="16" t="s">
        <v>72</v>
      </c>
      <c r="AM58" s="16" t="s">
        <v>1101</v>
      </c>
      <c r="AN58" s="16">
        <v>1</v>
      </c>
      <c r="AO58" s="16" t="s">
        <v>1102</v>
      </c>
      <c r="AS58" s="16">
        <v>0</v>
      </c>
      <c r="AT58" s="16">
        <v>0</v>
      </c>
      <c r="AU58" s="16">
        <v>0</v>
      </c>
      <c r="AV58" s="16">
        <v>0</v>
      </c>
      <c r="AW58" s="16">
        <v>0</v>
      </c>
      <c r="AX58" s="16">
        <v>1</v>
      </c>
    </row>
    <row r="59" spans="1:50" s="13" customFormat="1" ht="32.25" customHeight="1">
      <c r="A59" s="10">
        <v>483</v>
      </c>
      <c r="B59" s="11" t="s">
        <v>75</v>
      </c>
      <c r="C59" s="87" t="s">
        <v>1103</v>
      </c>
      <c r="D59" s="26"/>
      <c r="E59" s="26" t="s">
        <v>77</v>
      </c>
      <c r="F59" s="12" t="s">
        <v>1104</v>
      </c>
      <c r="G59" s="12" t="s">
        <v>1105</v>
      </c>
      <c r="H59" s="12" t="s">
        <v>1106</v>
      </c>
      <c r="I59" s="12" t="s">
        <v>1107</v>
      </c>
      <c r="J59" s="12">
        <v>2021</v>
      </c>
      <c r="K59" s="12" t="s">
        <v>1108</v>
      </c>
      <c r="L59" s="12" t="s">
        <v>1109</v>
      </c>
      <c r="N59" s="12" t="s">
        <v>1110</v>
      </c>
      <c r="R59" s="12">
        <v>39</v>
      </c>
      <c r="S59" s="12" t="s">
        <v>1111</v>
      </c>
      <c r="T59" s="12" t="s">
        <v>1112</v>
      </c>
      <c r="U59" s="12" t="s">
        <v>1113</v>
      </c>
      <c r="V59" s="12" t="s">
        <v>1114</v>
      </c>
      <c r="W59" s="12" t="s">
        <v>1115</v>
      </c>
      <c r="X59" s="12" t="s">
        <v>1116</v>
      </c>
      <c r="Y59" s="12" t="s">
        <v>1117</v>
      </c>
      <c r="Z59" s="12" t="s">
        <v>1118</v>
      </c>
      <c r="AB59" s="12" t="s">
        <v>158</v>
      </c>
      <c r="AC59" s="12" t="s">
        <v>1119</v>
      </c>
      <c r="AE59" s="12" t="s">
        <v>1120</v>
      </c>
      <c r="AG59" s="12" t="s">
        <v>95</v>
      </c>
      <c r="AH59" s="12" t="s">
        <v>1121</v>
      </c>
      <c r="AI59" s="12" t="s">
        <v>70</v>
      </c>
      <c r="AJ59" s="12" t="s">
        <v>71</v>
      </c>
      <c r="AL59" s="12" t="s">
        <v>72</v>
      </c>
      <c r="AM59" s="12" t="s">
        <v>1122</v>
      </c>
      <c r="AN59" s="12">
        <v>1</v>
      </c>
      <c r="AO59" s="12" t="s">
        <v>1123</v>
      </c>
      <c r="AQ59" s="12">
        <v>1</v>
      </c>
      <c r="AR59" s="12">
        <v>0</v>
      </c>
      <c r="AS59" s="12">
        <v>0</v>
      </c>
      <c r="AT59" s="12">
        <v>0</v>
      </c>
      <c r="AU59" s="12">
        <v>0</v>
      </c>
      <c r="AV59" s="12">
        <v>0</v>
      </c>
    </row>
    <row r="60" spans="1:50" s="13" customFormat="1" ht="15.75" customHeight="1">
      <c r="A60" s="10">
        <v>485</v>
      </c>
      <c r="B60" s="11" t="s">
        <v>75</v>
      </c>
      <c r="C60" s="87" t="s">
        <v>810</v>
      </c>
      <c r="D60" s="11"/>
      <c r="E60" s="11" t="s">
        <v>77</v>
      </c>
      <c r="F60" s="12" t="s">
        <v>1124</v>
      </c>
      <c r="G60" s="12" t="s">
        <v>1125</v>
      </c>
      <c r="H60" s="12" t="s">
        <v>1126</v>
      </c>
      <c r="I60" s="12" t="s">
        <v>1127</v>
      </c>
      <c r="J60" s="12">
        <v>2021</v>
      </c>
      <c r="K60" s="12" t="s">
        <v>1128</v>
      </c>
      <c r="L60" s="12" t="s">
        <v>1129</v>
      </c>
      <c r="N60" s="12" t="s">
        <v>1130</v>
      </c>
      <c r="R60" s="12">
        <v>22</v>
      </c>
      <c r="S60" s="12" t="s">
        <v>1131</v>
      </c>
      <c r="T60" s="12" t="s">
        <v>1132</v>
      </c>
      <c r="U60" s="12" t="s">
        <v>1133</v>
      </c>
      <c r="V60" s="12" t="s">
        <v>1134</v>
      </c>
      <c r="W60" s="12" t="s">
        <v>1135</v>
      </c>
      <c r="Y60" s="12" t="s">
        <v>1136</v>
      </c>
      <c r="Z60" s="12" t="s">
        <v>1137</v>
      </c>
      <c r="AB60" s="12" t="s">
        <v>1138</v>
      </c>
      <c r="AC60" s="12" t="s">
        <v>1139</v>
      </c>
      <c r="AG60" s="12" t="s">
        <v>95</v>
      </c>
      <c r="AH60" s="12" t="s">
        <v>1140</v>
      </c>
      <c r="AI60" s="12" t="s">
        <v>70</v>
      </c>
      <c r="AJ60" s="12" t="s">
        <v>71</v>
      </c>
      <c r="AK60" s="12" t="s">
        <v>139</v>
      </c>
      <c r="AL60" s="12" t="s">
        <v>72</v>
      </c>
      <c r="AM60" s="12" t="s">
        <v>1141</v>
      </c>
      <c r="AN60" s="12">
        <v>1</v>
      </c>
      <c r="AO60" s="12" t="s">
        <v>1142</v>
      </c>
      <c r="AQ60" s="12">
        <v>0</v>
      </c>
      <c r="AR60" s="12">
        <v>1</v>
      </c>
      <c r="AS60" s="12">
        <v>0</v>
      </c>
      <c r="AT60" s="12">
        <v>0</v>
      </c>
      <c r="AU60" s="12">
        <v>0</v>
      </c>
      <c r="AV60" s="12">
        <v>0</v>
      </c>
    </row>
    <row r="61" spans="1:50" s="17" customFormat="1" ht="15.75" customHeight="1">
      <c r="A61" s="14">
        <v>490</v>
      </c>
      <c r="B61" s="15" t="s">
        <v>75</v>
      </c>
      <c r="C61" s="27"/>
      <c r="D61" s="9" t="s">
        <v>428</v>
      </c>
      <c r="E61" s="9"/>
      <c r="F61" s="16" t="s">
        <v>1143</v>
      </c>
      <c r="G61" s="16" t="s">
        <v>1144</v>
      </c>
      <c r="H61" s="16" t="s">
        <v>1145</v>
      </c>
      <c r="I61" s="16" t="s">
        <v>1146</v>
      </c>
      <c r="J61" s="16">
        <v>2021</v>
      </c>
      <c r="K61" s="16" t="s">
        <v>1147</v>
      </c>
      <c r="L61" s="16" t="s">
        <v>1148</v>
      </c>
      <c r="M61" s="16" t="s">
        <v>1149</v>
      </c>
      <c r="O61" s="16">
        <v>1307</v>
      </c>
      <c r="P61" s="16">
        <v>1324</v>
      </c>
      <c r="Q61" s="16">
        <v>17</v>
      </c>
      <c r="R61" s="16">
        <v>4</v>
      </c>
      <c r="S61" s="16" t="s">
        <v>1150</v>
      </c>
      <c r="T61" s="16" t="s">
        <v>1151</v>
      </c>
      <c r="U61" s="16" t="s">
        <v>1152</v>
      </c>
      <c r="V61" s="16" t="s">
        <v>1153</v>
      </c>
      <c r="W61" s="16" t="s">
        <v>1154</v>
      </c>
      <c r="X61" s="16" t="s">
        <v>1155</v>
      </c>
      <c r="Y61" s="16" t="s">
        <v>1156</v>
      </c>
      <c r="Z61" s="16" t="s">
        <v>1157</v>
      </c>
      <c r="AB61" s="16" t="s">
        <v>93</v>
      </c>
      <c r="AC61" s="16" t="s">
        <v>1158</v>
      </c>
      <c r="AE61" s="16" t="s">
        <v>1159</v>
      </c>
      <c r="AG61" s="16" t="s">
        <v>95</v>
      </c>
      <c r="AH61" s="16" t="s">
        <v>1160</v>
      </c>
      <c r="AI61" s="16" t="s">
        <v>70</v>
      </c>
      <c r="AJ61" s="16" t="s">
        <v>71</v>
      </c>
      <c r="AL61" s="16" t="s">
        <v>72</v>
      </c>
      <c r="AM61" s="16" t="s">
        <v>1161</v>
      </c>
      <c r="AN61" s="16">
        <v>1</v>
      </c>
      <c r="AO61" s="16" t="s">
        <v>1162</v>
      </c>
      <c r="AS61" s="16">
        <v>0</v>
      </c>
      <c r="AT61" s="16">
        <v>0</v>
      </c>
      <c r="AU61" s="16">
        <v>0</v>
      </c>
      <c r="AV61" s="16">
        <v>0</v>
      </c>
      <c r="AW61" s="16">
        <v>0</v>
      </c>
      <c r="AX61" s="16">
        <v>1</v>
      </c>
    </row>
    <row r="62" spans="1:50" s="13" customFormat="1" ht="15.75" customHeight="1">
      <c r="A62" s="10">
        <v>491</v>
      </c>
      <c r="B62" s="11" t="s">
        <v>75</v>
      </c>
      <c r="C62" s="87" t="s">
        <v>810</v>
      </c>
      <c r="D62" s="11"/>
      <c r="E62" s="11" t="s">
        <v>77</v>
      </c>
      <c r="F62" s="12" t="s">
        <v>1163</v>
      </c>
      <c r="G62" s="12" t="s">
        <v>1164</v>
      </c>
      <c r="H62" s="12" t="s">
        <v>1165</v>
      </c>
      <c r="I62" s="12" t="s">
        <v>1166</v>
      </c>
      <c r="J62" s="12">
        <v>2021</v>
      </c>
      <c r="K62" s="12" t="s">
        <v>127</v>
      </c>
      <c r="L62" s="12" t="s">
        <v>1167</v>
      </c>
      <c r="N62" s="12" t="s">
        <v>1168</v>
      </c>
      <c r="O62" s="12">
        <v>16239</v>
      </c>
      <c r="P62" s="12">
        <v>16253</v>
      </c>
      <c r="Q62" s="12">
        <v>14</v>
      </c>
      <c r="R62" s="12">
        <v>31</v>
      </c>
      <c r="S62" s="12" t="s">
        <v>1169</v>
      </c>
      <c r="T62" s="12" t="s">
        <v>1170</v>
      </c>
      <c r="U62" s="12" t="s">
        <v>1171</v>
      </c>
      <c r="V62" s="12" t="s">
        <v>1172</v>
      </c>
      <c r="W62" s="12" t="s">
        <v>1173</v>
      </c>
      <c r="X62" s="12" t="s">
        <v>1174</v>
      </c>
      <c r="Y62" s="12" t="s">
        <v>1175</v>
      </c>
      <c r="Z62" s="12" t="s">
        <v>1176</v>
      </c>
      <c r="AB62" s="12" t="s">
        <v>137</v>
      </c>
      <c r="AC62" s="12" t="s">
        <v>138</v>
      </c>
      <c r="AG62" s="12" t="s">
        <v>95</v>
      </c>
      <c r="AH62" s="12" t="s">
        <v>127</v>
      </c>
      <c r="AI62" s="12" t="s">
        <v>70</v>
      </c>
      <c r="AJ62" s="12" t="s">
        <v>71</v>
      </c>
      <c r="AK62" s="12" t="s">
        <v>139</v>
      </c>
      <c r="AL62" s="12" t="s">
        <v>72</v>
      </c>
      <c r="AM62" s="12" t="s">
        <v>1177</v>
      </c>
      <c r="AN62" s="12">
        <v>1</v>
      </c>
      <c r="AO62" s="12" t="s">
        <v>1178</v>
      </c>
      <c r="AS62" s="12">
        <v>0</v>
      </c>
      <c r="AT62" s="12">
        <v>0</v>
      </c>
      <c r="AU62" s="12">
        <v>0</v>
      </c>
      <c r="AV62" s="12">
        <v>0</v>
      </c>
      <c r="AW62" s="12">
        <v>0</v>
      </c>
      <c r="AX62" s="12">
        <v>1</v>
      </c>
    </row>
    <row r="63" spans="1:50" s="17" customFormat="1" ht="15.75" customHeight="1">
      <c r="A63" s="14">
        <v>497</v>
      </c>
      <c r="B63" s="15" t="s">
        <v>75</v>
      </c>
      <c r="C63" s="27"/>
      <c r="D63" s="9" t="s">
        <v>428</v>
      </c>
      <c r="E63" s="9"/>
      <c r="F63" s="16" t="s">
        <v>1179</v>
      </c>
      <c r="G63" s="16" t="s">
        <v>1180</v>
      </c>
      <c r="H63" s="16" t="s">
        <v>1181</v>
      </c>
      <c r="I63" s="16" t="s">
        <v>1182</v>
      </c>
      <c r="J63" s="16">
        <v>2021</v>
      </c>
      <c r="K63" s="16" t="s">
        <v>1183</v>
      </c>
      <c r="L63" s="16" t="s">
        <v>1184</v>
      </c>
      <c r="O63" s="16">
        <v>457</v>
      </c>
      <c r="P63" s="16">
        <v>467</v>
      </c>
      <c r="Q63" s="16">
        <v>10</v>
      </c>
      <c r="R63" s="16">
        <v>2</v>
      </c>
      <c r="S63" s="16" t="s">
        <v>1185</v>
      </c>
      <c r="T63" s="16" t="s">
        <v>1186</v>
      </c>
      <c r="U63" s="16" t="s">
        <v>1187</v>
      </c>
      <c r="V63" s="16" t="s">
        <v>1188</v>
      </c>
      <c r="W63" s="16" t="s">
        <v>1189</v>
      </c>
      <c r="Y63" s="16" t="s">
        <v>1190</v>
      </c>
      <c r="Z63" s="16" t="s">
        <v>1191</v>
      </c>
      <c r="AA63" s="16" t="s">
        <v>1192</v>
      </c>
      <c r="AB63" s="16" t="s">
        <v>93</v>
      </c>
      <c r="AC63" s="16" t="s">
        <v>1193</v>
      </c>
      <c r="AD63" s="16" t="s">
        <v>1194</v>
      </c>
      <c r="AG63" s="16" t="s">
        <v>95</v>
      </c>
      <c r="AH63" s="16" t="s">
        <v>1195</v>
      </c>
      <c r="AI63" s="16" t="s">
        <v>253</v>
      </c>
      <c r="AJ63" s="16" t="s">
        <v>71</v>
      </c>
      <c r="AL63" s="16" t="s">
        <v>72</v>
      </c>
      <c r="AM63" s="16" t="s">
        <v>1196</v>
      </c>
      <c r="AN63" s="16">
        <v>1</v>
      </c>
      <c r="AO63" s="16" t="s">
        <v>1197</v>
      </c>
      <c r="AS63" s="16">
        <v>0</v>
      </c>
      <c r="AT63" s="16">
        <v>0</v>
      </c>
      <c r="AU63" s="16">
        <v>0</v>
      </c>
      <c r="AV63" s="16">
        <v>0</v>
      </c>
      <c r="AW63" s="16">
        <v>0</v>
      </c>
      <c r="AX63" s="16">
        <v>1</v>
      </c>
    </row>
    <row r="64" spans="1:50" s="13" customFormat="1" ht="15.75" customHeight="1">
      <c r="A64" s="10">
        <v>502</v>
      </c>
      <c r="B64" s="11" t="s">
        <v>75</v>
      </c>
      <c r="C64" s="87" t="s">
        <v>810</v>
      </c>
      <c r="D64" s="11"/>
      <c r="E64" s="11" t="s">
        <v>77</v>
      </c>
      <c r="F64" s="12" t="s">
        <v>1198</v>
      </c>
      <c r="G64" s="12" t="s">
        <v>1199</v>
      </c>
      <c r="H64" s="12" t="s">
        <v>1200</v>
      </c>
      <c r="I64" s="12" t="s">
        <v>1201</v>
      </c>
      <c r="J64" s="12">
        <v>2020</v>
      </c>
      <c r="K64" s="12" t="s">
        <v>667</v>
      </c>
      <c r="L64" s="12" t="s">
        <v>1202</v>
      </c>
      <c r="O64" s="12">
        <v>86</v>
      </c>
      <c r="P64" s="12">
        <v>97</v>
      </c>
      <c r="Q64" s="12">
        <v>11</v>
      </c>
      <c r="R64" s="12">
        <v>3</v>
      </c>
      <c r="S64" s="12" t="s">
        <v>1203</v>
      </c>
      <c r="T64" s="12" t="s">
        <v>1204</v>
      </c>
      <c r="U64" s="12" t="s">
        <v>1205</v>
      </c>
      <c r="V64" s="12" t="s">
        <v>1206</v>
      </c>
      <c r="W64" s="12" t="s">
        <v>1207</v>
      </c>
      <c r="X64" s="12" t="s">
        <v>1208</v>
      </c>
      <c r="Y64" s="12" t="s">
        <v>1209</v>
      </c>
      <c r="Z64" s="12" t="s">
        <v>1210</v>
      </c>
      <c r="AA64" s="12" t="s">
        <v>1211</v>
      </c>
      <c r="AB64" s="12" t="s">
        <v>93</v>
      </c>
      <c r="AC64" s="12" t="s">
        <v>678</v>
      </c>
      <c r="AD64" s="12" t="s">
        <v>1212</v>
      </c>
      <c r="AG64" s="12" t="s">
        <v>95</v>
      </c>
      <c r="AH64" s="12" t="s">
        <v>680</v>
      </c>
      <c r="AI64" s="12" t="s">
        <v>253</v>
      </c>
      <c r="AJ64" s="12" t="s">
        <v>71</v>
      </c>
      <c r="AL64" s="12" t="s">
        <v>72</v>
      </c>
      <c r="AM64" s="12" t="s">
        <v>1213</v>
      </c>
      <c r="AN64" s="12">
        <v>1</v>
      </c>
      <c r="AO64" s="12" t="s">
        <v>1214</v>
      </c>
      <c r="AS64" s="12">
        <v>0</v>
      </c>
      <c r="AT64" s="12">
        <v>0</v>
      </c>
      <c r="AU64" s="12">
        <v>0</v>
      </c>
      <c r="AV64" s="12">
        <v>0</v>
      </c>
      <c r="AW64" s="12">
        <v>0</v>
      </c>
      <c r="AX64" s="12">
        <v>1</v>
      </c>
    </row>
    <row r="65" spans="1:50" s="17" customFormat="1" ht="15.75" customHeight="1">
      <c r="A65" s="14">
        <v>537</v>
      </c>
      <c r="B65" s="15" t="s">
        <v>75</v>
      </c>
      <c r="C65" s="27"/>
      <c r="D65" s="15" t="s">
        <v>530</v>
      </c>
      <c r="E65" s="15"/>
      <c r="F65" s="16" t="s">
        <v>1215</v>
      </c>
      <c r="G65" s="16" t="s">
        <v>1216</v>
      </c>
      <c r="H65" s="16" t="s">
        <v>1217</v>
      </c>
      <c r="I65" s="16" t="s">
        <v>1218</v>
      </c>
      <c r="J65" s="16">
        <v>2019</v>
      </c>
      <c r="K65" s="16" t="s">
        <v>1219</v>
      </c>
      <c r="L65" s="16" t="s">
        <v>1220</v>
      </c>
      <c r="M65" s="16" t="s">
        <v>984</v>
      </c>
      <c r="N65" s="16" t="s">
        <v>1221</v>
      </c>
      <c r="R65" s="16">
        <v>35</v>
      </c>
      <c r="S65" s="16" t="s">
        <v>1222</v>
      </c>
      <c r="T65" s="16" t="s">
        <v>1223</v>
      </c>
      <c r="U65" s="16" t="s">
        <v>1224</v>
      </c>
      <c r="V65" s="16" t="s">
        <v>1225</v>
      </c>
      <c r="W65" s="16" t="s">
        <v>1226</v>
      </c>
      <c r="X65" s="16" t="s">
        <v>1227</v>
      </c>
      <c r="Y65" s="16" t="s">
        <v>1228</v>
      </c>
      <c r="Z65" s="16" t="s">
        <v>1229</v>
      </c>
      <c r="AB65" s="16" t="s">
        <v>1230</v>
      </c>
      <c r="AC65" s="16" t="s">
        <v>1231</v>
      </c>
      <c r="AG65" s="16" t="s">
        <v>95</v>
      </c>
      <c r="AH65" s="16" t="s">
        <v>1232</v>
      </c>
      <c r="AI65" s="16" t="s">
        <v>70</v>
      </c>
      <c r="AJ65" s="16" t="s">
        <v>71</v>
      </c>
      <c r="AK65" s="16" t="s">
        <v>139</v>
      </c>
      <c r="AL65" s="16" t="s">
        <v>72</v>
      </c>
      <c r="AM65" s="16" t="s">
        <v>1233</v>
      </c>
      <c r="AN65" s="16">
        <v>1</v>
      </c>
      <c r="AO65" s="16" t="s">
        <v>1234</v>
      </c>
      <c r="AS65" s="16">
        <v>0</v>
      </c>
      <c r="AT65" s="16">
        <v>0</v>
      </c>
      <c r="AU65" s="16">
        <v>0</v>
      </c>
      <c r="AV65" s="16">
        <v>0</v>
      </c>
      <c r="AW65" s="16">
        <v>0</v>
      </c>
      <c r="AX65" s="16">
        <v>1</v>
      </c>
    </row>
    <row r="66" spans="1:50" s="13" customFormat="1" ht="15.75" customHeight="1">
      <c r="A66" s="10">
        <v>549</v>
      </c>
      <c r="B66" s="11" t="s">
        <v>75</v>
      </c>
      <c r="C66" s="87" t="s">
        <v>810</v>
      </c>
      <c r="D66" s="11"/>
      <c r="E66" s="11" t="s">
        <v>77</v>
      </c>
      <c r="F66" s="30" t="s">
        <v>1235</v>
      </c>
      <c r="G66" s="30" t="s">
        <v>1236</v>
      </c>
      <c r="H66" s="30" t="s">
        <v>1237</v>
      </c>
      <c r="I66" s="30" t="s">
        <v>1238</v>
      </c>
      <c r="J66" s="30">
        <v>2020</v>
      </c>
      <c r="K66" s="30" t="s">
        <v>1239</v>
      </c>
      <c r="L66" s="30"/>
      <c r="M66" s="30"/>
      <c r="N66" s="30"/>
      <c r="O66" s="30">
        <v>115</v>
      </c>
      <c r="P66" s="30">
        <v>120</v>
      </c>
      <c r="Q66" s="30">
        <v>5</v>
      </c>
      <c r="R66" s="30">
        <v>17</v>
      </c>
      <c r="S66" s="30" t="s">
        <v>1240</v>
      </c>
      <c r="T66" s="30" t="s">
        <v>1241</v>
      </c>
      <c r="U66" s="30" t="s">
        <v>1242</v>
      </c>
      <c r="V66" s="30" t="s">
        <v>1243</v>
      </c>
      <c r="W66" s="30" t="s">
        <v>1244</v>
      </c>
      <c r="X66" s="30" t="s">
        <v>1245</v>
      </c>
      <c r="Y66" s="30" t="s">
        <v>1246</v>
      </c>
      <c r="Z66" s="30"/>
      <c r="AA66" s="30"/>
      <c r="AB66" s="30" t="s">
        <v>269</v>
      </c>
      <c r="AC66" s="30"/>
      <c r="AD66" s="30" t="s">
        <v>1247</v>
      </c>
      <c r="AE66" s="30"/>
      <c r="AF66" s="30"/>
      <c r="AG66" s="30" t="s">
        <v>95</v>
      </c>
      <c r="AH66" s="30" t="s">
        <v>1248</v>
      </c>
      <c r="AI66" s="30" t="s">
        <v>253</v>
      </c>
      <c r="AJ66" s="30" t="s">
        <v>71</v>
      </c>
      <c r="AK66" s="30" t="s">
        <v>1249</v>
      </c>
      <c r="AL66" s="30" t="s">
        <v>72</v>
      </c>
      <c r="AM66" s="30" t="s">
        <v>1250</v>
      </c>
      <c r="AN66" s="30">
        <v>1</v>
      </c>
      <c r="AO66" s="30" t="s">
        <v>1251</v>
      </c>
      <c r="AP66" s="30"/>
      <c r="AQ66" s="30"/>
      <c r="AR66" s="30"/>
      <c r="AS66" s="30">
        <v>0</v>
      </c>
      <c r="AT66" s="30">
        <v>0</v>
      </c>
      <c r="AU66" s="30">
        <v>0</v>
      </c>
      <c r="AV66" s="30">
        <v>0</v>
      </c>
      <c r="AW66" s="30">
        <v>0</v>
      </c>
      <c r="AX66" s="30">
        <v>1</v>
      </c>
    </row>
    <row r="67" spans="1:50" s="17" customFormat="1" ht="15.75" customHeight="1">
      <c r="A67" s="14">
        <v>551</v>
      </c>
      <c r="B67" s="15" t="s">
        <v>75</v>
      </c>
      <c r="C67" s="27"/>
      <c r="D67" s="27" t="s">
        <v>895</v>
      </c>
      <c r="E67" s="27"/>
      <c r="F67" s="16" t="s">
        <v>1252</v>
      </c>
      <c r="G67" s="16" t="s">
        <v>1253</v>
      </c>
      <c r="H67" s="16" t="s">
        <v>1254</v>
      </c>
      <c r="I67" s="16" t="s">
        <v>1255</v>
      </c>
      <c r="J67" s="16">
        <v>2020</v>
      </c>
      <c r="K67" s="16" t="s">
        <v>1256</v>
      </c>
      <c r="L67" s="16" t="s">
        <v>1257</v>
      </c>
      <c r="O67" s="16">
        <v>1230</v>
      </c>
      <c r="P67" s="16">
        <v>1240</v>
      </c>
      <c r="Q67" s="16">
        <v>10</v>
      </c>
      <c r="R67" s="16">
        <v>31</v>
      </c>
      <c r="S67" s="16" t="s">
        <v>1258</v>
      </c>
      <c r="T67" s="16" t="s">
        <v>1259</v>
      </c>
      <c r="U67" s="16" t="s">
        <v>1260</v>
      </c>
      <c r="V67" s="16" t="s">
        <v>1261</v>
      </c>
      <c r="W67" s="16" t="s">
        <v>1262</v>
      </c>
      <c r="X67" s="16" t="s">
        <v>1263</v>
      </c>
      <c r="Y67" s="16" t="s">
        <v>1264</v>
      </c>
      <c r="Z67" s="16" t="s">
        <v>1265</v>
      </c>
      <c r="AB67" s="16" t="s">
        <v>158</v>
      </c>
      <c r="AC67" s="16" t="s">
        <v>1266</v>
      </c>
      <c r="AE67" s="16" t="s">
        <v>1267</v>
      </c>
      <c r="AG67" s="16" t="s">
        <v>95</v>
      </c>
      <c r="AH67" s="16" t="s">
        <v>1268</v>
      </c>
      <c r="AI67" s="16" t="s">
        <v>70</v>
      </c>
      <c r="AJ67" s="16" t="s">
        <v>71</v>
      </c>
      <c r="AL67" s="16" t="s">
        <v>72</v>
      </c>
      <c r="AM67" s="16" t="s">
        <v>1269</v>
      </c>
      <c r="AN67" s="16">
        <v>1</v>
      </c>
      <c r="AO67" s="16" t="s">
        <v>1270</v>
      </c>
      <c r="AS67" s="16">
        <v>0</v>
      </c>
      <c r="AT67" s="16">
        <v>0</v>
      </c>
      <c r="AU67" s="16">
        <v>0</v>
      </c>
      <c r="AV67" s="16">
        <v>0</v>
      </c>
      <c r="AW67" s="16">
        <v>0</v>
      </c>
      <c r="AX67" s="16">
        <v>1</v>
      </c>
    </row>
    <row r="68" spans="1:50" s="17" customFormat="1" ht="15.75" customHeight="1">
      <c r="A68" s="14">
        <v>554</v>
      </c>
      <c r="B68" s="15" t="s">
        <v>75</v>
      </c>
      <c r="C68" s="15"/>
      <c r="D68" s="27" t="s">
        <v>1271</v>
      </c>
      <c r="E68" s="27"/>
      <c r="F68" s="16" t="s">
        <v>1272</v>
      </c>
      <c r="G68" s="16" t="s">
        <v>1273</v>
      </c>
      <c r="H68" s="16" t="s">
        <v>1274</v>
      </c>
      <c r="I68" s="16" t="s">
        <v>1275</v>
      </c>
      <c r="J68" s="16">
        <v>2019</v>
      </c>
      <c r="K68" s="16" t="s">
        <v>1276</v>
      </c>
      <c r="N68" s="16" t="s">
        <v>1277</v>
      </c>
      <c r="R68" s="16">
        <v>3</v>
      </c>
      <c r="S68" s="16" t="s">
        <v>1278</v>
      </c>
      <c r="T68" s="16" t="s">
        <v>1279</v>
      </c>
      <c r="U68" s="16" t="s">
        <v>1280</v>
      </c>
      <c r="V68" s="16" t="s">
        <v>1281</v>
      </c>
      <c r="W68" s="16" t="s">
        <v>1282</v>
      </c>
      <c r="X68" s="16" t="s">
        <v>1283</v>
      </c>
      <c r="Y68" s="16" t="s">
        <v>1284</v>
      </c>
      <c r="AA68" s="16" t="s">
        <v>1285</v>
      </c>
      <c r="AB68" s="16" t="s">
        <v>137</v>
      </c>
      <c r="AD68" s="16" t="s">
        <v>1286</v>
      </c>
      <c r="AG68" s="16" t="s">
        <v>95</v>
      </c>
      <c r="AH68" s="16" t="s">
        <v>1287</v>
      </c>
      <c r="AI68" s="16" t="s">
        <v>253</v>
      </c>
      <c r="AJ68" s="16" t="s">
        <v>71</v>
      </c>
      <c r="AL68" s="16" t="s">
        <v>72</v>
      </c>
      <c r="AM68" s="16" t="s">
        <v>1288</v>
      </c>
      <c r="AN68" s="16">
        <v>1</v>
      </c>
      <c r="AO68" s="16" t="s">
        <v>1289</v>
      </c>
      <c r="AQ68" s="16">
        <v>0</v>
      </c>
      <c r="AR68" s="16">
        <v>1</v>
      </c>
      <c r="AS68" s="16">
        <v>0</v>
      </c>
      <c r="AT68" s="16">
        <v>0</v>
      </c>
      <c r="AU68" s="16">
        <v>0</v>
      </c>
      <c r="AV68" s="16">
        <v>0</v>
      </c>
    </row>
    <row r="69" spans="1:50" s="17" customFormat="1" ht="15.75" customHeight="1">
      <c r="A69" s="14">
        <v>564</v>
      </c>
      <c r="B69" s="15" t="s">
        <v>75</v>
      </c>
      <c r="C69" s="27"/>
      <c r="D69" s="27" t="s">
        <v>895</v>
      </c>
      <c r="E69" s="27"/>
      <c r="F69" s="16" t="s">
        <v>1290</v>
      </c>
      <c r="G69" s="16" t="s">
        <v>1291</v>
      </c>
      <c r="H69" s="16" t="s">
        <v>1292</v>
      </c>
      <c r="I69" s="16" t="s">
        <v>1293</v>
      </c>
      <c r="J69" s="16">
        <v>2020</v>
      </c>
      <c r="K69" s="16" t="s">
        <v>1294</v>
      </c>
      <c r="N69" s="16" t="s">
        <v>1295</v>
      </c>
      <c r="R69" s="16">
        <v>7</v>
      </c>
      <c r="S69" s="16" t="s">
        <v>1296</v>
      </c>
      <c r="T69" s="16" t="s">
        <v>1297</v>
      </c>
      <c r="U69" s="16" t="s">
        <v>1298</v>
      </c>
      <c r="V69" s="16" t="s">
        <v>1299</v>
      </c>
      <c r="W69" s="16" t="s">
        <v>1300</v>
      </c>
      <c r="X69" s="16" t="s">
        <v>1301</v>
      </c>
      <c r="Y69" s="16" t="s">
        <v>1302</v>
      </c>
      <c r="AB69" s="16" t="s">
        <v>137</v>
      </c>
      <c r="AD69" s="16" t="s">
        <v>1303</v>
      </c>
      <c r="AG69" s="16" t="s">
        <v>95</v>
      </c>
      <c r="AH69" s="16" t="s">
        <v>1304</v>
      </c>
      <c r="AI69" s="16" t="s">
        <v>253</v>
      </c>
      <c r="AJ69" s="16" t="s">
        <v>71</v>
      </c>
      <c r="AL69" s="16" t="s">
        <v>72</v>
      </c>
      <c r="AM69" s="16" t="s">
        <v>1305</v>
      </c>
      <c r="AN69" s="16">
        <v>1</v>
      </c>
      <c r="AO69" s="16" t="s">
        <v>1306</v>
      </c>
      <c r="AS69" s="16">
        <v>0</v>
      </c>
      <c r="AT69" s="16">
        <v>0</v>
      </c>
      <c r="AU69" s="16">
        <v>0</v>
      </c>
      <c r="AV69" s="16">
        <v>0</v>
      </c>
      <c r="AW69" s="16">
        <v>0</v>
      </c>
      <c r="AX69" s="16">
        <v>1</v>
      </c>
    </row>
    <row r="70" spans="1:50" s="13" customFormat="1" ht="15.75" customHeight="1">
      <c r="A70" s="10">
        <v>566</v>
      </c>
      <c r="B70" s="11" t="s">
        <v>75</v>
      </c>
      <c r="C70" s="26" t="s">
        <v>361</v>
      </c>
      <c r="D70" s="11"/>
      <c r="E70" s="11"/>
      <c r="F70" s="12" t="s">
        <v>1307</v>
      </c>
      <c r="G70" s="12" t="s">
        <v>1308</v>
      </c>
      <c r="H70" s="12" t="s">
        <v>1309</v>
      </c>
      <c r="I70" s="12" t="s">
        <v>1310</v>
      </c>
      <c r="J70" s="12">
        <v>2020</v>
      </c>
      <c r="K70" s="12" t="s">
        <v>667</v>
      </c>
      <c r="L70" s="12" t="s">
        <v>1311</v>
      </c>
      <c r="O70" s="12">
        <v>255</v>
      </c>
      <c r="P70" s="12">
        <v>273</v>
      </c>
      <c r="Q70" s="12">
        <v>18</v>
      </c>
      <c r="R70" s="12">
        <v>1</v>
      </c>
      <c r="S70" s="12" t="s">
        <v>1312</v>
      </c>
      <c r="T70" s="12" t="s">
        <v>1313</v>
      </c>
      <c r="U70" s="12" t="s">
        <v>671</v>
      </c>
      <c r="V70" s="12" t="s">
        <v>1314</v>
      </c>
      <c r="W70" s="12" t="s">
        <v>1315</v>
      </c>
      <c r="X70" s="12" t="s">
        <v>1316</v>
      </c>
      <c r="Y70" s="12" t="s">
        <v>1317</v>
      </c>
      <c r="Z70" s="12" t="s">
        <v>1318</v>
      </c>
      <c r="AA70" s="12" t="s">
        <v>1319</v>
      </c>
      <c r="AB70" s="12" t="s">
        <v>523</v>
      </c>
      <c r="AC70" s="12" t="s">
        <v>678</v>
      </c>
      <c r="AD70" s="12" t="s">
        <v>1320</v>
      </c>
      <c r="AG70" s="12" t="s">
        <v>95</v>
      </c>
      <c r="AH70" s="12" t="s">
        <v>680</v>
      </c>
      <c r="AI70" s="12" t="s">
        <v>253</v>
      </c>
      <c r="AJ70" s="12" t="s">
        <v>71</v>
      </c>
      <c r="AL70" s="12" t="s">
        <v>72</v>
      </c>
      <c r="AM70" s="12" t="s">
        <v>1321</v>
      </c>
      <c r="AN70" s="12">
        <v>1</v>
      </c>
      <c r="AO70" s="12" t="s">
        <v>1322</v>
      </c>
      <c r="AS70" s="12">
        <v>0</v>
      </c>
      <c r="AT70" s="12">
        <v>0</v>
      </c>
      <c r="AU70" s="12">
        <v>0</v>
      </c>
      <c r="AV70" s="12">
        <v>0</v>
      </c>
      <c r="AW70" s="12">
        <v>0</v>
      </c>
      <c r="AX70" s="12">
        <v>1</v>
      </c>
    </row>
    <row r="71" spans="1:50" s="13" customFormat="1" ht="15.75" customHeight="1">
      <c r="A71" s="10">
        <v>568</v>
      </c>
      <c r="B71" s="11" t="s">
        <v>75</v>
      </c>
      <c r="C71" s="26" t="s">
        <v>361</v>
      </c>
      <c r="D71" s="11"/>
      <c r="E71" s="26" t="s">
        <v>77</v>
      </c>
      <c r="F71" s="12" t="s">
        <v>1323</v>
      </c>
      <c r="G71" s="12" t="s">
        <v>1324</v>
      </c>
      <c r="H71" s="12" t="s">
        <v>1325</v>
      </c>
      <c r="I71" s="12" t="s">
        <v>1326</v>
      </c>
      <c r="J71" s="12">
        <v>2020</v>
      </c>
      <c r="K71" s="12" t="s">
        <v>1327</v>
      </c>
      <c r="L71" s="12" t="s">
        <v>1328</v>
      </c>
      <c r="N71" s="12" t="s">
        <v>1329</v>
      </c>
      <c r="O71" s="12">
        <v>151</v>
      </c>
      <c r="P71" s="12">
        <v>155</v>
      </c>
      <c r="Q71" s="12">
        <v>4</v>
      </c>
      <c r="R71" s="12">
        <v>4</v>
      </c>
      <c r="S71" s="12" t="s">
        <v>1330</v>
      </c>
      <c r="T71" s="12" t="s">
        <v>1331</v>
      </c>
      <c r="U71" s="12" t="s">
        <v>1332</v>
      </c>
      <c r="V71" s="12" t="s">
        <v>1333</v>
      </c>
      <c r="W71" s="12" t="s">
        <v>1334</v>
      </c>
      <c r="X71" s="12" t="s">
        <v>1335</v>
      </c>
      <c r="Y71" s="12" t="s">
        <v>1336</v>
      </c>
      <c r="AA71" s="12" t="s">
        <v>1337</v>
      </c>
      <c r="AB71" s="12" t="s">
        <v>137</v>
      </c>
      <c r="AC71" s="12" t="s">
        <v>1338</v>
      </c>
      <c r="AD71" s="12" t="s">
        <v>1339</v>
      </c>
      <c r="AG71" s="12" t="s">
        <v>95</v>
      </c>
      <c r="AH71" s="12" t="s">
        <v>1340</v>
      </c>
      <c r="AI71" s="12" t="s">
        <v>253</v>
      </c>
      <c r="AJ71" s="12" t="s">
        <v>71</v>
      </c>
      <c r="AL71" s="12" t="s">
        <v>72</v>
      </c>
      <c r="AM71" s="12" t="s">
        <v>1341</v>
      </c>
      <c r="AN71" s="12">
        <v>1</v>
      </c>
      <c r="AO71" s="12" t="s">
        <v>1342</v>
      </c>
      <c r="AS71" s="12">
        <v>0</v>
      </c>
      <c r="AT71" s="12">
        <v>0</v>
      </c>
      <c r="AU71" s="12">
        <v>0</v>
      </c>
      <c r="AV71" s="12">
        <v>0</v>
      </c>
      <c r="AW71" s="12">
        <v>0</v>
      </c>
      <c r="AX71" s="12">
        <v>1</v>
      </c>
    </row>
    <row r="72" spans="1:50" s="13" customFormat="1" ht="15.75" customHeight="1">
      <c r="A72" s="10">
        <v>570</v>
      </c>
      <c r="B72" s="11" t="s">
        <v>75</v>
      </c>
      <c r="C72" s="87" t="s">
        <v>810</v>
      </c>
      <c r="D72" s="11"/>
      <c r="E72" s="11" t="s">
        <v>77</v>
      </c>
      <c r="F72" s="12" t="s">
        <v>1343</v>
      </c>
      <c r="G72" s="12" t="s">
        <v>1344</v>
      </c>
      <c r="H72" s="12" t="s">
        <v>1345</v>
      </c>
      <c r="I72" s="65" t="s">
        <v>1346</v>
      </c>
      <c r="J72" s="12">
        <v>2019</v>
      </c>
      <c r="K72" s="12" t="s">
        <v>1347</v>
      </c>
      <c r="N72" s="12" t="s">
        <v>1348</v>
      </c>
      <c r="R72" s="12">
        <v>12</v>
      </c>
      <c r="S72" s="12" t="s">
        <v>1349</v>
      </c>
      <c r="T72" s="12" t="s">
        <v>1350</v>
      </c>
      <c r="U72" s="12" t="s">
        <v>1351</v>
      </c>
      <c r="V72" s="12" t="s">
        <v>1352</v>
      </c>
      <c r="W72" s="12" t="s">
        <v>1353</v>
      </c>
      <c r="X72" s="12" t="s">
        <v>1354</v>
      </c>
      <c r="Y72" s="12" t="s">
        <v>1355</v>
      </c>
      <c r="AB72" s="12" t="s">
        <v>137</v>
      </c>
      <c r="AD72" s="12" t="s">
        <v>1356</v>
      </c>
      <c r="AG72" s="12" t="s">
        <v>95</v>
      </c>
      <c r="AH72" s="12" t="s">
        <v>958</v>
      </c>
      <c r="AI72" s="12" t="s">
        <v>253</v>
      </c>
      <c r="AJ72" s="12" t="s">
        <v>71</v>
      </c>
      <c r="AL72" s="12" t="s">
        <v>72</v>
      </c>
      <c r="AM72" s="12" t="s">
        <v>1357</v>
      </c>
      <c r="AN72" s="12">
        <v>1</v>
      </c>
      <c r="AO72" s="12" t="s">
        <v>1358</v>
      </c>
      <c r="AS72" s="12">
        <v>0</v>
      </c>
      <c r="AT72" s="12">
        <v>0</v>
      </c>
      <c r="AU72" s="12">
        <v>0</v>
      </c>
      <c r="AV72" s="12">
        <v>0</v>
      </c>
      <c r="AW72" s="12">
        <v>0</v>
      </c>
      <c r="AX72" s="12">
        <v>1</v>
      </c>
    </row>
    <row r="73" spans="1:50" s="13" customFormat="1" ht="15.75" customHeight="1">
      <c r="A73" s="10">
        <v>571</v>
      </c>
      <c r="B73" s="11" t="s">
        <v>75</v>
      </c>
      <c r="C73" s="87" t="s">
        <v>810</v>
      </c>
      <c r="D73" s="11"/>
      <c r="E73" s="11" t="s">
        <v>77</v>
      </c>
      <c r="F73" s="12" t="s">
        <v>1359</v>
      </c>
      <c r="G73" s="12" t="s">
        <v>1360</v>
      </c>
      <c r="H73" s="12" t="s">
        <v>1361</v>
      </c>
      <c r="I73" s="12" t="s">
        <v>1362</v>
      </c>
      <c r="J73" s="12">
        <v>2020</v>
      </c>
      <c r="K73" s="12" t="s">
        <v>1363</v>
      </c>
      <c r="L73" s="12" t="s">
        <v>434</v>
      </c>
      <c r="M73" s="12" t="s">
        <v>58</v>
      </c>
      <c r="O73" s="12">
        <v>189</v>
      </c>
      <c r="P73" s="12">
        <v>211</v>
      </c>
      <c r="Q73" s="12">
        <v>22</v>
      </c>
      <c r="R73" s="12">
        <v>34</v>
      </c>
      <c r="S73" s="12" t="s">
        <v>1364</v>
      </c>
      <c r="T73" s="12" t="s">
        <v>1365</v>
      </c>
      <c r="U73" s="12" t="s">
        <v>1366</v>
      </c>
      <c r="V73" s="12" t="s">
        <v>1367</v>
      </c>
      <c r="W73" s="12" t="s">
        <v>1368</v>
      </c>
      <c r="X73" s="12" t="s">
        <v>1369</v>
      </c>
      <c r="Y73" s="12" t="s">
        <v>1370</v>
      </c>
      <c r="Z73" s="12" t="s">
        <v>1371</v>
      </c>
      <c r="AB73" s="12" t="s">
        <v>93</v>
      </c>
      <c r="AC73" s="12" t="s">
        <v>1372</v>
      </c>
      <c r="AG73" s="12" t="s">
        <v>95</v>
      </c>
      <c r="AH73" s="12" t="s">
        <v>1373</v>
      </c>
      <c r="AI73" s="12" t="s">
        <v>70</v>
      </c>
      <c r="AJ73" s="12" t="s">
        <v>71</v>
      </c>
      <c r="AL73" s="12" t="s">
        <v>72</v>
      </c>
      <c r="AM73" s="12" t="s">
        <v>1374</v>
      </c>
      <c r="AN73" s="12">
        <v>1</v>
      </c>
      <c r="AO73" s="12" t="s">
        <v>1375</v>
      </c>
      <c r="AS73" s="12">
        <v>0</v>
      </c>
      <c r="AT73" s="12">
        <v>0</v>
      </c>
      <c r="AU73" s="12">
        <v>0</v>
      </c>
      <c r="AV73" s="12">
        <v>0</v>
      </c>
      <c r="AW73" s="12">
        <v>0</v>
      </c>
      <c r="AX73" s="12">
        <v>1</v>
      </c>
    </row>
    <row r="74" spans="1:50" s="17" customFormat="1" ht="15.75" customHeight="1">
      <c r="A74" s="14">
        <v>589</v>
      </c>
      <c r="B74" s="15" t="s">
        <v>75</v>
      </c>
      <c r="C74" s="27"/>
      <c r="D74" s="27" t="s">
        <v>1376</v>
      </c>
      <c r="E74" s="27"/>
      <c r="F74" s="16" t="s">
        <v>1377</v>
      </c>
      <c r="G74" s="16" t="s">
        <v>1378</v>
      </c>
      <c r="H74" s="16" t="s">
        <v>1379</v>
      </c>
      <c r="I74" s="16" t="s">
        <v>1380</v>
      </c>
      <c r="J74" s="16">
        <v>2019</v>
      </c>
      <c r="K74" s="16" t="s">
        <v>1381</v>
      </c>
      <c r="N74" s="16" t="s">
        <v>1382</v>
      </c>
      <c r="R74" s="16">
        <v>3</v>
      </c>
      <c r="S74" s="16" t="s">
        <v>1383</v>
      </c>
      <c r="T74" s="16" t="s">
        <v>1384</v>
      </c>
      <c r="U74" s="16" t="s">
        <v>1385</v>
      </c>
      <c r="V74" s="16" t="s">
        <v>1386</v>
      </c>
      <c r="W74" s="16" t="s">
        <v>1387</v>
      </c>
      <c r="X74" s="16" t="s">
        <v>1388</v>
      </c>
      <c r="Y74" s="16" t="s">
        <v>1389</v>
      </c>
      <c r="AB74" s="16" t="s">
        <v>137</v>
      </c>
      <c r="AD74" s="16" t="s">
        <v>1390</v>
      </c>
      <c r="AG74" s="16" t="s">
        <v>95</v>
      </c>
      <c r="AH74" s="16" t="s">
        <v>1391</v>
      </c>
      <c r="AI74" s="16" t="s">
        <v>253</v>
      </c>
      <c r="AJ74" s="16" t="s">
        <v>71</v>
      </c>
      <c r="AL74" s="16" t="s">
        <v>72</v>
      </c>
      <c r="AM74" s="16" t="s">
        <v>1392</v>
      </c>
      <c r="AN74" s="16">
        <v>1</v>
      </c>
      <c r="AO74" s="16" t="s">
        <v>1393</v>
      </c>
      <c r="AS74" s="16">
        <v>0</v>
      </c>
      <c r="AT74" s="16">
        <v>0</v>
      </c>
      <c r="AU74" s="16">
        <v>0</v>
      </c>
      <c r="AV74" s="16">
        <v>0</v>
      </c>
      <c r="AW74" s="16">
        <v>0</v>
      </c>
      <c r="AX74" s="16">
        <v>1</v>
      </c>
    </row>
    <row r="75" spans="1:50" s="13" customFormat="1" ht="15.75" customHeight="1">
      <c r="A75" s="10">
        <v>592</v>
      </c>
      <c r="B75" s="11" t="s">
        <v>75</v>
      </c>
      <c r="C75" s="87" t="s">
        <v>810</v>
      </c>
      <c r="D75" s="11"/>
      <c r="E75" s="11" t="s">
        <v>77</v>
      </c>
      <c r="F75" s="12" t="s">
        <v>1394</v>
      </c>
      <c r="G75" s="12" t="s">
        <v>1395</v>
      </c>
      <c r="H75" s="12" t="s">
        <v>1396</v>
      </c>
      <c r="I75" s="12" t="s">
        <v>1397</v>
      </c>
      <c r="J75" s="12">
        <v>2020</v>
      </c>
      <c r="K75" s="12" t="s">
        <v>1398</v>
      </c>
      <c r="N75" s="12" t="s">
        <v>1399</v>
      </c>
      <c r="R75" s="12">
        <v>7</v>
      </c>
      <c r="S75" s="12" t="s">
        <v>1400</v>
      </c>
      <c r="T75" s="12" t="s">
        <v>1401</v>
      </c>
      <c r="U75" s="12" t="s">
        <v>1402</v>
      </c>
      <c r="V75" s="12" t="s">
        <v>1403</v>
      </c>
      <c r="W75" s="12" t="s">
        <v>1404</v>
      </c>
      <c r="X75" s="12" t="s">
        <v>1405</v>
      </c>
      <c r="Y75" s="12" t="s">
        <v>1406</v>
      </c>
      <c r="Z75" s="12" t="s">
        <v>1407</v>
      </c>
      <c r="AB75" s="12" t="s">
        <v>137</v>
      </c>
      <c r="AD75" s="12" t="s">
        <v>1408</v>
      </c>
      <c r="AG75" s="12" t="s">
        <v>95</v>
      </c>
      <c r="AH75" s="12" t="s">
        <v>1409</v>
      </c>
      <c r="AI75" s="12" t="s">
        <v>253</v>
      </c>
      <c r="AJ75" s="12" t="s">
        <v>71</v>
      </c>
      <c r="AL75" s="12" t="s">
        <v>72</v>
      </c>
      <c r="AM75" s="12" t="s">
        <v>1410</v>
      </c>
      <c r="AN75" s="12">
        <v>1</v>
      </c>
      <c r="AO75" s="12" t="s">
        <v>1411</v>
      </c>
      <c r="AS75" s="12">
        <v>0</v>
      </c>
      <c r="AT75" s="12">
        <v>0</v>
      </c>
      <c r="AU75" s="12">
        <v>0</v>
      </c>
      <c r="AV75" s="12">
        <v>0</v>
      </c>
      <c r="AW75" s="12">
        <v>0</v>
      </c>
      <c r="AX75" s="12">
        <v>1</v>
      </c>
    </row>
    <row r="76" spans="1:50" s="13" customFormat="1" ht="15.75" customHeight="1">
      <c r="A76" s="10">
        <v>602</v>
      </c>
      <c r="B76" s="11" t="s">
        <v>75</v>
      </c>
      <c r="C76" s="87" t="s">
        <v>810</v>
      </c>
      <c r="D76" s="11"/>
      <c r="E76" s="11" t="s">
        <v>77</v>
      </c>
      <c r="F76" s="23" t="s">
        <v>1412</v>
      </c>
      <c r="G76" s="23" t="s">
        <v>1413</v>
      </c>
      <c r="H76" s="23" t="s">
        <v>1414</v>
      </c>
      <c r="I76" s="23" t="s">
        <v>1415</v>
      </c>
      <c r="J76" s="23">
        <v>2019</v>
      </c>
      <c r="K76" s="23" t="s">
        <v>1416</v>
      </c>
      <c r="L76" s="23" t="s">
        <v>1220</v>
      </c>
      <c r="M76" s="23" t="s">
        <v>1417</v>
      </c>
      <c r="N76" s="24"/>
      <c r="O76" s="24"/>
      <c r="P76" s="24"/>
      <c r="Q76" s="24"/>
      <c r="R76" s="23">
        <v>3</v>
      </c>
      <c r="S76" s="23" t="s">
        <v>1418</v>
      </c>
      <c r="T76" s="23" t="s">
        <v>1419</v>
      </c>
      <c r="U76" s="23" t="s">
        <v>1420</v>
      </c>
      <c r="V76" s="23" t="s">
        <v>1421</v>
      </c>
      <c r="W76" s="23" t="s">
        <v>1422</v>
      </c>
      <c r="X76" s="23" t="s">
        <v>1423</v>
      </c>
      <c r="Y76" s="23" t="s">
        <v>1424</v>
      </c>
      <c r="Z76" s="23" t="s">
        <v>1425</v>
      </c>
      <c r="AA76" s="24"/>
      <c r="AB76" s="23" t="s">
        <v>1426</v>
      </c>
      <c r="AC76" s="24"/>
      <c r="AD76" s="23" t="s">
        <v>1427</v>
      </c>
      <c r="AE76" s="24"/>
      <c r="AF76" s="24"/>
      <c r="AG76" s="23" t="s">
        <v>95</v>
      </c>
      <c r="AH76" s="23" t="s">
        <v>1428</v>
      </c>
      <c r="AI76" s="23" t="s">
        <v>253</v>
      </c>
      <c r="AJ76" s="23" t="s">
        <v>71</v>
      </c>
      <c r="AK76" s="24"/>
      <c r="AL76" s="23" t="s">
        <v>72</v>
      </c>
      <c r="AM76" s="23" t="s">
        <v>1429</v>
      </c>
      <c r="AN76" s="23">
        <v>1</v>
      </c>
      <c r="AO76" s="23" t="s">
        <v>1430</v>
      </c>
      <c r="AP76" s="24"/>
      <c r="AQ76" s="23">
        <v>1</v>
      </c>
      <c r="AR76" s="23">
        <v>1</v>
      </c>
      <c r="AS76" s="23">
        <v>0</v>
      </c>
      <c r="AT76" s="23">
        <v>0</v>
      </c>
      <c r="AU76" s="23">
        <v>0</v>
      </c>
      <c r="AV76" s="23">
        <v>0</v>
      </c>
      <c r="AW76" s="24"/>
      <c r="AX76" s="24"/>
    </row>
    <row r="77" spans="1:50" s="13" customFormat="1" ht="15.75" customHeight="1">
      <c r="A77" s="10">
        <v>610</v>
      </c>
      <c r="B77" s="11" t="s">
        <v>75</v>
      </c>
      <c r="C77" s="26" t="s">
        <v>361</v>
      </c>
      <c r="D77" s="11"/>
      <c r="E77" s="26" t="s">
        <v>77</v>
      </c>
      <c r="F77" s="12" t="s">
        <v>1431</v>
      </c>
      <c r="G77" s="12" t="s">
        <v>1432</v>
      </c>
      <c r="H77" s="12" t="s">
        <v>1433</v>
      </c>
      <c r="I77" s="12" t="s">
        <v>1434</v>
      </c>
      <c r="J77" s="12">
        <v>2018</v>
      </c>
      <c r="K77" s="12" t="s">
        <v>1435</v>
      </c>
      <c r="L77" s="12" t="s">
        <v>473</v>
      </c>
      <c r="M77" s="12" t="s">
        <v>1149</v>
      </c>
      <c r="N77" s="12" t="s">
        <v>1436</v>
      </c>
      <c r="O77" s="12">
        <v>4486</v>
      </c>
      <c r="P77" s="12">
        <v>4495</v>
      </c>
      <c r="Q77" s="12">
        <v>9</v>
      </c>
      <c r="R77" s="12">
        <v>109</v>
      </c>
      <c r="S77" s="12" t="s">
        <v>1437</v>
      </c>
      <c r="T77" s="12" t="s">
        <v>1438</v>
      </c>
      <c r="U77" s="12" t="s">
        <v>1439</v>
      </c>
      <c r="V77" s="12" t="s">
        <v>1440</v>
      </c>
      <c r="W77" s="12" t="s">
        <v>1441</v>
      </c>
      <c r="X77" s="12" t="s">
        <v>1442</v>
      </c>
      <c r="Y77" s="12" t="s">
        <v>1443</v>
      </c>
      <c r="Z77" s="12" t="s">
        <v>1444</v>
      </c>
      <c r="AB77" s="12" t="s">
        <v>137</v>
      </c>
      <c r="AC77" s="12" t="s">
        <v>1445</v>
      </c>
      <c r="AG77" s="12" t="s">
        <v>95</v>
      </c>
      <c r="AH77" s="12" t="s">
        <v>1446</v>
      </c>
      <c r="AI77" s="12" t="s">
        <v>70</v>
      </c>
      <c r="AJ77" s="12" t="s">
        <v>71</v>
      </c>
      <c r="AK77" s="12" t="s">
        <v>97</v>
      </c>
      <c r="AL77" s="12" t="s">
        <v>72</v>
      </c>
      <c r="AM77" s="12" t="s">
        <v>1447</v>
      </c>
      <c r="AN77" s="12">
        <v>1</v>
      </c>
      <c r="AO77" s="12" t="s">
        <v>1448</v>
      </c>
      <c r="AQ77" s="12">
        <v>1</v>
      </c>
      <c r="AR77" s="12">
        <v>0</v>
      </c>
      <c r="AS77" s="12">
        <v>0</v>
      </c>
      <c r="AT77" s="12">
        <v>0</v>
      </c>
      <c r="AU77" s="12">
        <v>0</v>
      </c>
      <c r="AV77" s="12">
        <v>0</v>
      </c>
    </row>
    <row r="78" spans="1:50" s="17" customFormat="1" ht="15.75" customHeight="1">
      <c r="A78" s="14">
        <v>615</v>
      </c>
      <c r="B78" s="15" t="s">
        <v>75</v>
      </c>
      <c r="C78" s="27"/>
      <c r="D78" s="15" t="s">
        <v>428</v>
      </c>
      <c r="E78" s="15"/>
      <c r="F78" s="16" t="s">
        <v>1449</v>
      </c>
      <c r="G78" s="16" t="s">
        <v>1450</v>
      </c>
      <c r="H78" s="16" t="s">
        <v>1451</v>
      </c>
      <c r="I78" s="16" t="s">
        <v>1452</v>
      </c>
      <c r="J78" s="16">
        <v>2019</v>
      </c>
      <c r="K78" s="16" t="s">
        <v>1453</v>
      </c>
      <c r="R78" s="16">
        <v>3</v>
      </c>
      <c r="T78" s="16" t="s">
        <v>1454</v>
      </c>
      <c r="U78" s="16" t="s">
        <v>1455</v>
      </c>
      <c r="V78" s="16" t="s">
        <v>1456</v>
      </c>
      <c r="W78" s="16" t="s">
        <v>1457</v>
      </c>
      <c r="X78" s="16" t="s">
        <v>1458</v>
      </c>
      <c r="Y78" s="16" t="s">
        <v>1459</v>
      </c>
      <c r="Z78" s="16" t="s">
        <v>1460</v>
      </c>
      <c r="AB78" s="16" t="s">
        <v>1461</v>
      </c>
      <c r="AG78" s="16" t="s">
        <v>95</v>
      </c>
      <c r="AH78" s="16" t="s">
        <v>1462</v>
      </c>
      <c r="AI78" s="16" t="s">
        <v>253</v>
      </c>
      <c r="AJ78" s="16" t="s">
        <v>71</v>
      </c>
      <c r="AL78" s="16" t="s">
        <v>72</v>
      </c>
      <c r="AM78" s="16" t="s">
        <v>1463</v>
      </c>
      <c r="AN78" s="16">
        <v>1</v>
      </c>
      <c r="AO78" s="16" t="s">
        <v>1464</v>
      </c>
      <c r="AS78" s="16">
        <v>0</v>
      </c>
      <c r="AT78" s="16">
        <v>0</v>
      </c>
      <c r="AU78" s="16">
        <v>0</v>
      </c>
      <c r="AV78" s="16">
        <v>0</v>
      </c>
      <c r="AW78" s="16">
        <v>0</v>
      </c>
      <c r="AX78" s="16">
        <v>1</v>
      </c>
    </row>
    <row r="79" spans="1:50" s="17" customFormat="1" ht="15.75" customHeight="1">
      <c r="A79" s="14">
        <v>623</v>
      </c>
      <c r="B79" s="15" t="s">
        <v>75</v>
      </c>
      <c r="C79" s="27"/>
      <c r="D79" s="15" t="s">
        <v>530</v>
      </c>
      <c r="E79" s="15"/>
      <c r="F79" s="16" t="s">
        <v>1465</v>
      </c>
      <c r="G79" s="16" t="s">
        <v>1466</v>
      </c>
      <c r="H79" s="16" t="s">
        <v>1467</v>
      </c>
      <c r="I79" s="16" t="s">
        <v>1468</v>
      </c>
      <c r="J79" s="16">
        <v>2019</v>
      </c>
      <c r="K79" s="16" t="s">
        <v>1469</v>
      </c>
      <c r="L79" s="16" t="s">
        <v>1470</v>
      </c>
      <c r="N79" s="16" t="s">
        <v>1471</v>
      </c>
      <c r="R79" s="16">
        <v>8</v>
      </c>
      <c r="S79" s="16" t="s">
        <v>1472</v>
      </c>
      <c r="T79" s="16" t="s">
        <v>1473</v>
      </c>
      <c r="U79" s="16" t="s">
        <v>1474</v>
      </c>
      <c r="V79" s="16" t="s">
        <v>1475</v>
      </c>
      <c r="W79" s="16" t="s">
        <v>1476</v>
      </c>
      <c r="X79" s="16" t="s">
        <v>1477</v>
      </c>
      <c r="Y79" s="16" t="s">
        <v>1478</v>
      </c>
      <c r="AB79" s="16" t="s">
        <v>460</v>
      </c>
      <c r="AC79" s="16" t="s">
        <v>1479</v>
      </c>
      <c r="AD79" s="16" t="s">
        <v>1480</v>
      </c>
      <c r="AG79" s="16" t="s">
        <v>95</v>
      </c>
      <c r="AH79" s="16" t="s">
        <v>1481</v>
      </c>
      <c r="AI79" s="16" t="s">
        <v>253</v>
      </c>
      <c r="AJ79" s="16" t="s">
        <v>71</v>
      </c>
      <c r="AL79" s="16" t="s">
        <v>72</v>
      </c>
      <c r="AM79" s="16" t="s">
        <v>1482</v>
      </c>
      <c r="AN79" s="16">
        <v>1</v>
      </c>
      <c r="AO79" s="16" t="s">
        <v>1483</v>
      </c>
      <c r="AQ79" s="16">
        <v>1</v>
      </c>
      <c r="AR79" s="16">
        <v>0</v>
      </c>
      <c r="AS79" s="16">
        <v>0</v>
      </c>
      <c r="AT79" s="16">
        <v>0</v>
      </c>
      <c r="AU79" s="16">
        <v>0</v>
      </c>
      <c r="AV79" s="16">
        <v>0</v>
      </c>
    </row>
    <row r="80" spans="1:50" s="17" customFormat="1" ht="15.75" customHeight="1">
      <c r="A80" s="14">
        <v>624</v>
      </c>
      <c r="B80" s="15" t="s">
        <v>466</v>
      </c>
      <c r="C80" s="27"/>
      <c r="D80" s="15" t="s">
        <v>1484</v>
      </c>
      <c r="E80" s="15"/>
      <c r="F80" s="16" t="s">
        <v>1485</v>
      </c>
      <c r="G80" s="16" t="s">
        <v>1486</v>
      </c>
      <c r="H80" s="16" t="s">
        <v>1487</v>
      </c>
      <c r="I80" s="16" t="s">
        <v>1488</v>
      </c>
      <c r="J80" s="16">
        <v>2019</v>
      </c>
      <c r="K80" s="16" t="s">
        <v>472</v>
      </c>
      <c r="L80" s="16" t="s">
        <v>1489</v>
      </c>
      <c r="M80" s="16" t="s">
        <v>58</v>
      </c>
      <c r="O80" s="16">
        <v>91</v>
      </c>
      <c r="P80" s="16">
        <v>120</v>
      </c>
      <c r="Q80" s="16">
        <v>29</v>
      </c>
      <c r="R80" s="16">
        <v>3</v>
      </c>
      <c r="S80" s="16" t="s">
        <v>1490</v>
      </c>
      <c r="T80" s="16" t="s">
        <v>1491</v>
      </c>
      <c r="U80" s="16" t="s">
        <v>1492</v>
      </c>
      <c r="V80" s="16" t="s">
        <v>1493</v>
      </c>
      <c r="W80" s="16" t="s">
        <v>1494</v>
      </c>
      <c r="X80" s="16" t="s">
        <v>1495</v>
      </c>
      <c r="Y80" s="16" t="s">
        <v>1496</v>
      </c>
      <c r="Z80" s="16" t="s">
        <v>1497</v>
      </c>
      <c r="AB80" s="16" t="s">
        <v>482</v>
      </c>
      <c r="AC80" s="16" t="s">
        <v>483</v>
      </c>
      <c r="AG80" s="16" t="s">
        <v>95</v>
      </c>
      <c r="AH80" s="16" t="s">
        <v>484</v>
      </c>
      <c r="AI80" s="16" t="s">
        <v>70</v>
      </c>
      <c r="AJ80" s="16" t="s">
        <v>71</v>
      </c>
      <c r="AL80" s="16" t="s">
        <v>72</v>
      </c>
      <c r="AM80" s="16" t="s">
        <v>1498</v>
      </c>
      <c r="AN80" s="16">
        <v>1</v>
      </c>
      <c r="AO80" s="16" t="s">
        <v>1499</v>
      </c>
      <c r="AS80" s="16">
        <v>0</v>
      </c>
      <c r="AT80" s="16">
        <v>0</v>
      </c>
      <c r="AU80" s="16">
        <v>0</v>
      </c>
      <c r="AV80" s="16">
        <v>0</v>
      </c>
      <c r="AW80" s="16">
        <v>1</v>
      </c>
      <c r="AX80" s="16">
        <v>0</v>
      </c>
    </row>
    <row r="81" spans="1:50" s="17" customFormat="1" ht="15.75" customHeight="1">
      <c r="A81" s="14">
        <v>626</v>
      </c>
      <c r="B81" s="15" t="s">
        <v>75</v>
      </c>
      <c r="C81" s="27"/>
      <c r="D81" s="15" t="s">
        <v>1376</v>
      </c>
      <c r="E81" s="15"/>
      <c r="F81" s="16" t="s">
        <v>1500</v>
      </c>
      <c r="G81" s="16" t="s">
        <v>1501</v>
      </c>
      <c r="H81" s="16" t="s">
        <v>1502</v>
      </c>
      <c r="I81" s="16" t="s">
        <v>1503</v>
      </c>
      <c r="J81" s="16">
        <v>2019</v>
      </c>
      <c r="K81" s="16" t="s">
        <v>1504</v>
      </c>
      <c r="L81" s="16" t="s">
        <v>83</v>
      </c>
      <c r="M81" s="16" t="s">
        <v>185</v>
      </c>
      <c r="O81" s="16">
        <v>434</v>
      </c>
      <c r="P81" s="16">
        <v>452</v>
      </c>
      <c r="Q81" s="16">
        <v>18</v>
      </c>
      <c r="R81" s="16">
        <v>11</v>
      </c>
      <c r="S81" s="16" t="s">
        <v>1505</v>
      </c>
      <c r="T81" s="16" t="s">
        <v>1506</v>
      </c>
      <c r="U81" s="16" t="s">
        <v>1507</v>
      </c>
      <c r="V81" s="16" t="s">
        <v>1508</v>
      </c>
      <c r="W81" s="16" t="s">
        <v>1509</v>
      </c>
      <c r="X81" s="16" t="s">
        <v>1510</v>
      </c>
      <c r="Y81" s="16" t="s">
        <v>1511</v>
      </c>
      <c r="Z81" s="16" t="s">
        <v>1512</v>
      </c>
      <c r="AB81" s="16" t="s">
        <v>1513</v>
      </c>
      <c r="AC81" s="16" t="s">
        <v>1514</v>
      </c>
      <c r="AG81" s="16" t="s">
        <v>95</v>
      </c>
      <c r="AH81" s="16" t="s">
        <v>1515</v>
      </c>
      <c r="AI81" s="16" t="s">
        <v>70</v>
      </c>
      <c r="AJ81" s="16" t="s">
        <v>71</v>
      </c>
      <c r="AL81" s="16" t="s">
        <v>72</v>
      </c>
      <c r="AM81" s="16" t="s">
        <v>1516</v>
      </c>
      <c r="AN81" s="16">
        <v>1</v>
      </c>
      <c r="AO81" s="16" t="s">
        <v>1517</v>
      </c>
      <c r="AS81" s="16">
        <v>0</v>
      </c>
      <c r="AT81" s="16">
        <v>0</v>
      </c>
      <c r="AU81" s="16">
        <v>0</v>
      </c>
      <c r="AV81" s="16">
        <v>0</v>
      </c>
      <c r="AW81" s="16">
        <v>1</v>
      </c>
      <c r="AX81" s="16">
        <v>0</v>
      </c>
    </row>
    <row r="82" spans="1:50" s="17" customFormat="1" ht="15.75" customHeight="1">
      <c r="A82" s="14">
        <v>630</v>
      </c>
      <c r="B82" s="15" t="s">
        <v>75</v>
      </c>
      <c r="C82" s="27"/>
      <c r="D82" s="15" t="s">
        <v>1376</v>
      </c>
      <c r="E82" s="15"/>
      <c r="F82" s="16" t="s">
        <v>1518</v>
      </c>
      <c r="G82" s="16" t="s">
        <v>1519</v>
      </c>
      <c r="H82" s="16" t="s">
        <v>1520</v>
      </c>
      <c r="I82" s="16" t="s">
        <v>1521</v>
      </c>
      <c r="J82" s="16">
        <v>2019</v>
      </c>
      <c r="K82" s="16" t="s">
        <v>1522</v>
      </c>
      <c r="L82" s="16" t="s">
        <v>1523</v>
      </c>
      <c r="N82" s="16" t="s">
        <v>1524</v>
      </c>
      <c r="R82" s="16">
        <v>5</v>
      </c>
      <c r="S82" s="16" t="s">
        <v>1525</v>
      </c>
      <c r="T82" s="16" t="s">
        <v>1526</v>
      </c>
      <c r="U82" s="16" t="s">
        <v>1527</v>
      </c>
      <c r="V82" s="16" t="s">
        <v>1528</v>
      </c>
      <c r="W82" s="16" t="s">
        <v>1529</v>
      </c>
      <c r="X82" s="16" t="s">
        <v>1530</v>
      </c>
      <c r="Y82" s="16" t="s">
        <v>1531</v>
      </c>
      <c r="AB82" s="16" t="s">
        <v>137</v>
      </c>
      <c r="AC82" s="16" t="s">
        <v>1532</v>
      </c>
      <c r="AD82" s="16" t="s">
        <v>1533</v>
      </c>
      <c r="AE82" s="16" t="s">
        <v>1534</v>
      </c>
      <c r="AG82" s="16" t="s">
        <v>95</v>
      </c>
      <c r="AH82" s="16" t="s">
        <v>1535</v>
      </c>
      <c r="AI82" s="16" t="s">
        <v>253</v>
      </c>
      <c r="AJ82" s="16" t="s">
        <v>71</v>
      </c>
      <c r="AL82" s="16" t="s">
        <v>72</v>
      </c>
      <c r="AM82" s="16" t="s">
        <v>1536</v>
      </c>
      <c r="AN82" s="16">
        <v>1</v>
      </c>
      <c r="AO82" s="16" t="s">
        <v>1537</v>
      </c>
      <c r="AQ82" s="16">
        <v>0</v>
      </c>
      <c r="AR82" s="16">
        <v>1</v>
      </c>
      <c r="AS82" s="16">
        <v>0</v>
      </c>
      <c r="AT82" s="16">
        <v>0</v>
      </c>
      <c r="AU82" s="16">
        <v>0</v>
      </c>
      <c r="AV82" s="16">
        <v>0</v>
      </c>
    </row>
    <row r="83" spans="1:50" s="17" customFormat="1" ht="15.75" customHeight="1">
      <c r="A83" s="14">
        <v>632</v>
      </c>
      <c r="B83" s="15" t="s">
        <v>75</v>
      </c>
      <c r="C83" s="27"/>
      <c r="D83" s="15" t="s">
        <v>530</v>
      </c>
      <c r="E83" s="15"/>
      <c r="F83" s="16" t="s">
        <v>1538</v>
      </c>
      <c r="G83" s="16" t="s">
        <v>1539</v>
      </c>
      <c r="H83" s="16" t="s">
        <v>1540</v>
      </c>
      <c r="I83" s="16" t="s">
        <v>1541</v>
      </c>
      <c r="J83" s="16">
        <v>2018</v>
      </c>
      <c r="K83" s="16" t="s">
        <v>1542</v>
      </c>
      <c r="N83" s="16" t="s">
        <v>1543</v>
      </c>
      <c r="R83" s="16">
        <v>24</v>
      </c>
      <c r="S83" s="16" t="s">
        <v>1544</v>
      </c>
      <c r="T83" s="16" t="s">
        <v>1545</v>
      </c>
      <c r="U83" s="16" t="s">
        <v>1546</v>
      </c>
      <c r="V83" s="16" t="s">
        <v>1547</v>
      </c>
      <c r="W83" s="16" t="s">
        <v>1548</v>
      </c>
      <c r="X83" s="16" t="s">
        <v>1549</v>
      </c>
      <c r="Y83" s="16" t="s">
        <v>1550</v>
      </c>
      <c r="Z83" s="16" t="s">
        <v>1551</v>
      </c>
      <c r="AB83" s="16" t="s">
        <v>137</v>
      </c>
      <c r="AD83" s="16" t="s">
        <v>1552</v>
      </c>
      <c r="AG83" s="16" t="s">
        <v>95</v>
      </c>
      <c r="AH83" s="16" t="s">
        <v>1553</v>
      </c>
      <c r="AI83" s="16" t="s">
        <v>253</v>
      </c>
      <c r="AJ83" s="16" t="s">
        <v>71</v>
      </c>
      <c r="AL83" s="16" t="s">
        <v>72</v>
      </c>
      <c r="AM83" s="16" t="s">
        <v>1554</v>
      </c>
      <c r="AN83" s="16">
        <v>1</v>
      </c>
      <c r="AO83" s="16" t="s">
        <v>1555</v>
      </c>
      <c r="AQ83" s="16">
        <v>1</v>
      </c>
      <c r="AR83" s="16">
        <v>1</v>
      </c>
      <c r="AS83" s="16">
        <v>0</v>
      </c>
      <c r="AT83" s="16">
        <v>0</v>
      </c>
      <c r="AU83" s="16">
        <v>0</v>
      </c>
      <c r="AV83" s="16">
        <v>0</v>
      </c>
    </row>
    <row r="84" spans="1:50" s="13" customFormat="1" ht="15.75" customHeight="1">
      <c r="A84" s="10">
        <v>634</v>
      </c>
      <c r="B84" s="11" t="s">
        <v>75</v>
      </c>
      <c r="C84" s="26" t="s">
        <v>361</v>
      </c>
      <c r="D84" s="11"/>
      <c r="E84" s="11" t="s">
        <v>77</v>
      </c>
      <c r="F84" s="12" t="s">
        <v>1556</v>
      </c>
      <c r="G84" s="12" t="s">
        <v>1557</v>
      </c>
      <c r="H84" s="12" t="s">
        <v>1558</v>
      </c>
      <c r="I84" s="12" t="s">
        <v>1559</v>
      </c>
      <c r="J84" s="12">
        <v>2019</v>
      </c>
      <c r="K84" s="12" t="s">
        <v>1560</v>
      </c>
      <c r="N84" s="12" t="s">
        <v>1561</v>
      </c>
      <c r="O84" s="12">
        <v>36</v>
      </c>
      <c r="P84" s="12">
        <v>40</v>
      </c>
      <c r="Q84" s="12">
        <v>4</v>
      </c>
      <c r="R84" s="12">
        <v>8</v>
      </c>
      <c r="S84" s="12" t="s">
        <v>1562</v>
      </c>
      <c r="T84" s="12" t="s">
        <v>1563</v>
      </c>
      <c r="U84" s="12" t="s">
        <v>1564</v>
      </c>
      <c r="V84" s="12" t="s">
        <v>1565</v>
      </c>
      <c r="W84" s="12" t="s">
        <v>1566</v>
      </c>
      <c r="X84" s="12" t="s">
        <v>1567</v>
      </c>
      <c r="Y84" s="12" t="s">
        <v>1568</v>
      </c>
      <c r="AA84" s="12" t="s">
        <v>1569</v>
      </c>
      <c r="AB84" s="12" t="s">
        <v>137</v>
      </c>
      <c r="AD84" s="12" t="s">
        <v>1570</v>
      </c>
      <c r="AG84" s="12" t="s">
        <v>95</v>
      </c>
      <c r="AH84" s="12" t="s">
        <v>1571</v>
      </c>
      <c r="AI84" s="12" t="s">
        <v>253</v>
      </c>
      <c r="AJ84" s="12" t="s">
        <v>71</v>
      </c>
      <c r="AL84" s="12" t="s">
        <v>72</v>
      </c>
      <c r="AM84" s="12" t="s">
        <v>1572</v>
      </c>
      <c r="AN84" s="12">
        <v>1</v>
      </c>
      <c r="AO84" s="12" t="s">
        <v>1573</v>
      </c>
      <c r="AS84" s="12">
        <v>0</v>
      </c>
      <c r="AT84" s="12">
        <v>0</v>
      </c>
      <c r="AU84" s="12">
        <v>0</v>
      </c>
      <c r="AV84" s="12">
        <v>0</v>
      </c>
      <c r="AW84" s="12">
        <v>0</v>
      </c>
      <c r="AX84" s="12">
        <v>1</v>
      </c>
    </row>
    <row r="85" spans="1:50" s="13" customFormat="1" ht="15.75" customHeight="1">
      <c r="A85" s="10">
        <v>642</v>
      </c>
      <c r="B85" s="11" t="s">
        <v>75</v>
      </c>
      <c r="C85" s="26" t="s">
        <v>361</v>
      </c>
      <c r="D85" s="11"/>
      <c r="E85" s="11" t="s">
        <v>77</v>
      </c>
      <c r="F85" s="12" t="s">
        <v>1518</v>
      </c>
      <c r="G85" s="12" t="s">
        <v>1519</v>
      </c>
      <c r="H85" s="12" t="s">
        <v>1520</v>
      </c>
      <c r="I85" s="65" t="s">
        <v>1574</v>
      </c>
      <c r="J85" s="12">
        <v>2019</v>
      </c>
      <c r="K85" s="12" t="s">
        <v>1575</v>
      </c>
      <c r="N85" s="12" t="s">
        <v>1576</v>
      </c>
      <c r="O85" s="12">
        <v>85</v>
      </c>
      <c r="P85" s="12">
        <v>89</v>
      </c>
      <c r="Q85" s="12">
        <v>4</v>
      </c>
      <c r="R85" s="12">
        <v>4</v>
      </c>
      <c r="S85" s="12" t="s">
        <v>1577</v>
      </c>
      <c r="T85" s="12" t="s">
        <v>1578</v>
      </c>
      <c r="U85" s="12" t="s">
        <v>1579</v>
      </c>
      <c r="V85" s="12" t="s">
        <v>1580</v>
      </c>
      <c r="W85" s="12" t="s">
        <v>1581</v>
      </c>
      <c r="X85" s="12" t="s">
        <v>1582</v>
      </c>
      <c r="Y85" s="12" t="s">
        <v>1583</v>
      </c>
      <c r="AA85" s="12" t="s">
        <v>1584</v>
      </c>
      <c r="AB85" s="12" t="s">
        <v>137</v>
      </c>
      <c r="AD85" s="12" t="s">
        <v>1585</v>
      </c>
      <c r="AG85" s="12" t="s">
        <v>95</v>
      </c>
      <c r="AH85" s="12" t="s">
        <v>1586</v>
      </c>
      <c r="AI85" s="12" t="s">
        <v>253</v>
      </c>
      <c r="AJ85" s="12" t="s">
        <v>71</v>
      </c>
      <c r="AL85" s="12" t="s">
        <v>72</v>
      </c>
      <c r="AM85" s="12" t="s">
        <v>1587</v>
      </c>
      <c r="AN85" s="12">
        <v>1</v>
      </c>
      <c r="AO85" s="12" t="s">
        <v>1588</v>
      </c>
      <c r="AQ85" s="12">
        <v>0</v>
      </c>
      <c r="AR85" s="12">
        <v>1</v>
      </c>
      <c r="AS85" s="12">
        <v>0</v>
      </c>
      <c r="AT85" s="12">
        <v>0</v>
      </c>
      <c r="AU85" s="12">
        <v>0</v>
      </c>
      <c r="AV85" s="12">
        <v>0</v>
      </c>
    </row>
    <row r="86" spans="1:50" s="17" customFormat="1" ht="15.75" customHeight="1">
      <c r="A86" s="14">
        <v>651</v>
      </c>
      <c r="B86" s="15" t="s">
        <v>75</v>
      </c>
      <c r="C86" s="27"/>
      <c r="D86" s="15" t="s">
        <v>1589</v>
      </c>
      <c r="E86" s="15"/>
      <c r="F86" s="16" t="s">
        <v>1590</v>
      </c>
      <c r="G86" s="16" t="s">
        <v>1591</v>
      </c>
      <c r="H86" s="16" t="s">
        <v>1592</v>
      </c>
      <c r="I86" s="16" t="s">
        <v>1593</v>
      </c>
      <c r="J86" s="16">
        <v>2019</v>
      </c>
      <c r="K86" s="16" t="s">
        <v>1594</v>
      </c>
      <c r="L86" s="16" t="s">
        <v>1595</v>
      </c>
      <c r="O86" s="16">
        <v>77</v>
      </c>
      <c r="P86" s="16">
        <v>89</v>
      </c>
      <c r="Q86" s="16">
        <v>12</v>
      </c>
      <c r="R86" s="16">
        <v>7</v>
      </c>
      <c r="S86" s="16" t="s">
        <v>1596</v>
      </c>
      <c r="T86" s="16" t="s">
        <v>1597</v>
      </c>
      <c r="U86" s="16" t="s">
        <v>1598</v>
      </c>
      <c r="V86" s="16" t="s">
        <v>1599</v>
      </c>
      <c r="W86" s="16" t="s">
        <v>1600</v>
      </c>
      <c r="X86" s="16" t="s">
        <v>1601</v>
      </c>
      <c r="Y86" s="16" t="s">
        <v>1602</v>
      </c>
      <c r="Z86" s="16" t="s">
        <v>1603</v>
      </c>
      <c r="AA86" s="16" t="s">
        <v>1604</v>
      </c>
      <c r="AB86" s="16" t="s">
        <v>1605</v>
      </c>
      <c r="AC86" s="16" t="s">
        <v>1606</v>
      </c>
      <c r="AD86" s="16" t="s">
        <v>1607</v>
      </c>
      <c r="AG86" s="16" t="s">
        <v>95</v>
      </c>
      <c r="AH86" s="16" t="s">
        <v>1608</v>
      </c>
      <c r="AI86" s="16" t="s">
        <v>253</v>
      </c>
      <c r="AJ86" s="16" t="s">
        <v>71</v>
      </c>
      <c r="AL86" s="16" t="s">
        <v>72</v>
      </c>
      <c r="AM86" s="16" t="s">
        <v>1609</v>
      </c>
      <c r="AN86" s="16">
        <v>1</v>
      </c>
      <c r="AO86" s="16" t="s">
        <v>1610</v>
      </c>
      <c r="AS86" s="16">
        <v>0</v>
      </c>
      <c r="AT86" s="16">
        <v>0</v>
      </c>
      <c r="AU86" s="16">
        <v>0</v>
      </c>
      <c r="AV86" s="16">
        <v>0</v>
      </c>
      <c r="AW86" s="16">
        <v>0</v>
      </c>
      <c r="AX86" s="16">
        <v>1</v>
      </c>
    </row>
    <row r="87" spans="1:50" s="13" customFormat="1" ht="15.75" customHeight="1">
      <c r="A87" s="10">
        <v>652</v>
      </c>
      <c r="B87" s="11" t="s">
        <v>75</v>
      </c>
      <c r="C87" s="26" t="s">
        <v>361</v>
      </c>
      <c r="D87" s="11"/>
      <c r="E87" s="11" t="s">
        <v>77</v>
      </c>
      <c r="F87" s="12" t="s">
        <v>1611</v>
      </c>
      <c r="G87" s="12" t="s">
        <v>1612</v>
      </c>
      <c r="H87" s="12" t="s">
        <v>1613</v>
      </c>
      <c r="I87" s="65" t="s">
        <v>1614</v>
      </c>
      <c r="J87" s="12">
        <v>2019</v>
      </c>
      <c r="K87" s="12" t="s">
        <v>127</v>
      </c>
      <c r="L87" s="12" t="s">
        <v>1615</v>
      </c>
      <c r="N87" s="12" t="s">
        <v>1616</v>
      </c>
      <c r="O87" s="12">
        <v>42156</v>
      </c>
      <c r="P87" s="12">
        <v>42168</v>
      </c>
      <c r="Q87" s="12">
        <v>12</v>
      </c>
      <c r="R87" s="12">
        <v>33</v>
      </c>
      <c r="S87" s="12" t="s">
        <v>1617</v>
      </c>
      <c r="T87" s="12" t="s">
        <v>1618</v>
      </c>
      <c r="U87" s="12" t="s">
        <v>1619</v>
      </c>
      <c r="V87" s="12" t="s">
        <v>1620</v>
      </c>
      <c r="W87" s="12" t="s">
        <v>1621</v>
      </c>
      <c r="X87" s="12" t="s">
        <v>1622</v>
      </c>
      <c r="Y87" s="12" t="s">
        <v>1623</v>
      </c>
      <c r="Z87" s="12" t="s">
        <v>1624</v>
      </c>
      <c r="AB87" s="12" t="s">
        <v>137</v>
      </c>
      <c r="AC87" s="12" t="s">
        <v>138</v>
      </c>
      <c r="AG87" s="12" t="s">
        <v>95</v>
      </c>
      <c r="AH87" s="12" t="s">
        <v>127</v>
      </c>
      <c r="AI87" s="12" t="s">
        <v>70</v>
      </c>
      <c r="AJ87" s="12" t="s">
        <v>71</v>
      </c>
      <c r="AK87" s="12" t="s">
        <v>640</v>
      </c>
      <c r="AL87" s="12" t="s">
        <v>72</v>
      </c>
      <c r="AM87" s="12" t="s">
        <v>1625</v>
      </c>
      <c r="AN87" s="12">
        <v>1</v>
      </c>
      <c r="AO87" s="12" t="s">
        <v>1626</v>
      </c>
      <c r="AS87" s="12">
        <v>0</v>
      </c>
      <c r="AT87" s="12">
        <v>0</v>
      </c>
      <c r="AU87" s="12">
        <v>0</v>
      </c>
      <c r="AV87" s="12">
        <v>0</v>
      </c>
      <c r="AW87" s="12">
        <v>0</v>
      </c>
      <c r="AX87" s="12">
        <v>1</v>
      </c>
    </row>
    <row r="88" spans="1:50" s="13" customFormat="1" ht="15.75" customHeight="1">
      <c r="A88" s="10">
        <v>655</v>
      </c>
      <c r="B88" s="11" t="s">
        <v>75</v>
      </c>
      <c r="C88" s="87" t="s">
        <v>1627</v>
      </c>
      <c r="D88" s="11"/>
      <c r="E88" s="11" t="s">
        <v>77</v>
      </c>
      <c r="F88" s="12" t="s">
        <v>1628</v>
      </c>
      <c r="G88" s="12" t="s">
        <v>1629</v>
      </c>
      <c r="H88" s="12" t="s">
        <v>1630</v>
      </c>
      <c r="I88" s="65" t="s">
        <v>1631</v>
      </c>
      <c r="J88" s="12">
        <v>2018</v>
      </c>
      <c r="K88" s="12" t="s">
        <v>1632</v>
      </c>
      <c r="O88" s="12">
        <v>81</v>
      </c>
      <c r="P88" s="12">
        <v>85</v>
      </c>
      <c r="Q88" s="12">
        <v>4</v>
      </c>
      <c r="R88" s="12">
        <v>39</v>
      </c>
      <c r="S88" s="12" t="s">
        <v>1633</v>
      </c>
      <c r="T88" s="12" t="s">
        <v>1634</v>
      </c>
      <c r="U88" s="12" t="s">
        <v>1635</v>
      </c>
      <c r="V88" s="12" t="s">
        <v>1636</v>
      </c>
      <c r="W88" s="12" t="s">
        <v>1637</v>
      </c>
      <c r="X88" s="12" t="s">
        <v>1638</v>
      </c>
      <c r="Y88" s="12" t="s">
        <v>1639</v>
      </c>
      <c r="AA88" s="12" t="s">
        <v>1640</v>
      </c>
      <c r="AB88" s="12" t="s">
        <v>137</v>
      </c>
      <c r="AD88" s="12" t="s">
        <v>1641</v>
      </c>
      <c r="AG88" s="12" t="s">
        <v>95</v>
      </c>
      <c r="AH88" s="12" t="s">
        <v>1642</v>
      </c>
      <c r="AI88" s="12" t="s">
        <v>253</v>
      </c>
      <c r="AJ88" s="12" t="s">
        <v>71</v>
      </c>
      <c r="AL88" s="12" t="s">
        <v>72</v>
      </c>
      <c r="AM88" s="12" t="s">
        <v>1643</v>
      </c>
      <c r="AN88" s="12">
        <v>1</v>
      </c>
      <c r="AO88" s="12" t="s">
        <v>1644</v>
      </c>
      <c r="AQ88" s="12">
        <v>0</v>
      </c>
      <c r="AR88" s="12">
        <v>1</v>
      </c>
      <c r="AS88" s="12">
        <v>0</v>
      </c>
      <c r="AT88" s="12">
        <v>0</v>
      </c>
      <c r="AU88" s="12">
        <v>0</v>
      </c>
      <c r="AV88" s="12">
        <v>0</v>
      </c>
    </row>
    <row r="89" spans="1:50" s="17" customFormat="1" ht="31.5" customHeight="1">
      <c r="A89" s="14">
        <v>670</v>
      </c>
      <c r="B89" s="15" t="s">
        <v>75</v>
      </c>
      <c r="C89" s="27"/>
      <c r="D89" s="32" t="s">
        <v>1645</v>
      </c>
      <c r="E89" s="32"/>
      <c r="F89" s="16" t="s">
        <v>1646</v>
      </c>
      <c r="G89" s="16" t="s">
        <v>1647</v>
      </c>
      <c r="H89" s="16" t="s">
        <v>1648</v>
      </c>
      <c r="I89" s="16" t="s">
        <v>1649</v>
      </c>
      <c r="J89" s="16">
        <v>2018</v>
      </c>
      <c r="K89" s="16" t="s">
        <v>1542</v>
      </c>
      <c r="N89" s="16" t="s">
        <v>1650</v>
      </c>
      <c r="R89" s="16">
        <v>6</v>
      </c>
      <c r="S89" s="16" t="s">
        <v>1651</v>
      </c>
      <c r="T89" s="16" t="s">
        <v>1652</v>
      </c>
      <c r="U89" s="16" t="s">
        <v>1653</v>
      </c>
      <c r="V89" s="16" t="s">
        <v>1654</v>
      </c>
      <c r="W89" s="16" t="s">
        <v>1655</v>
      </c>
      <c r="X89" s="16" t="s">
        <v>1656</v>
      </c>
      <c r="Y89" s="16" t="s">
        <v>1657</v>
      </c>
      <c r="AB89" s="16" t="s">
        <v>137</v>
      </c>
      <c r="AD89" s="16" t="s">
        <v>1552</v>
      </c>
      <c r="AG89" s="16" t="s">
        <v>95</v>
      </c>
      <c r="AH89" s="16" t="s">
        <v>1553</v>
      </c>
      <c r="AI89" s="16" t="s">
        <v>253</v>
      </c>
      <c r="AJ89" s="16" t="s">
        <v>71</v>
      </c>
      <c r="AL89" s="16" t="s">
        <v>72</v>
      </c>
      <c r="AM89" s="16" t="s">
        <v>1658</v>
      </c>
      <c r="AN89" s="16">
        <v>1</v>
      </c>
      <c r="AO89" s="16" t="s">
        <v>1659</v>
      </c>
      <c r="AQ89" s="16">
        <v>1</v>
      </c>
      <c r="AR89" s="16">
        <v>1</v>
      </c>
      <c r="AS89" s="16">
        <v>0</v>
      </c>
      <c r="AT89" s="16">
        <v>0</v>
      </c>
      <c r="AU89" s="16">
        <v>0</v>
      </c>
      <c r="AV89" s="16">
        <v>0</v>
      </c>
    </row>
    <row r="90" spans="1:50" s="17" customFormat="1" ht="15.75" customHeight="1">
      <c r="A90" s="14">
        <v>682</v>
      </c>
      <c r="B90" s="15" t="s">
        <v>75</v>
      </c>
      <c r="C90" s="27"/>
      <c r="D90" s="15" t="s">
        <v>643</v>
      </c>
      <c r="E90" s="15"/>
      <c r="F90" s="16" t="s">
        <v>1660</v>
      </c>
      <c r="G90" s="16" t="s">
        <v>1661</v>
      </c>
      <c r="H90" s="16" t="s">
        <v>1662</v>
      </c>
      <c r="I90" s="16" t="s">
        <v>1663</v>
      </c>
      <c r="J90" s="16">
        <v>2019</v>
      </c>
      <c r="K90" s="16" t="s">
        <v>452</v>
      </c>
      <c r="L90" s="16" t="s">
        <v>1470</v>
      </c>
      <c r="N90" s="16" t="s">
        <v>1664</v>
      </c>
      <c r="O90" s="16">
        <v>854</v>
      </c>
      <c r="P90" s="16">
        <v>860</v>
      </c>
      <c r="Q90" s="16">
        <v>6</v>
      </c>
      <c r="R90" s="16">
        <v>9</v>
      </c>
      <c r="S90" s="16" t="s">
        <v>1665</v>
      </c>
      <c r="T90" s="16" t="s">
        <v>1666</v>
      </c>
      <c r="U90" s="16" t="s">
        <v>1667</v>
      </c>
      <c r="V90" s="16" t="s">
        <v>1668</v>
      </c>
      <c r="W90" s="16" t="s">
        <v>1669</v>
      </c>
      <c r="Y90" s="16" t="s">
        <v>1670</v>
      </c>
      <c r="AB90" s="16" t="s">
        <v>460</v>
      </c>
      <c r="AC90" s="16" t="s">
        <v>461</v>
      </c>
      <c r="AD90" s="16" t="s">
        <v>1671</v>
      </c>
      <c r="AG90" s="16" t="s">
        <v>95</v>
      </c>
      <c r="AH90" s="16" t="s">
        <v>463</v>
      </c>
      <c r="AI90" s="16" t="s">
        <v>253</v>
      </c>
      <c r="AJ90" s="16" t="s">
        <v>71</v>
      </c>
      <c r="AL90" s="16" t="s">
        <v>72</v>
      </c>
      <c r="AM90" s="16" t="s">
        <v>1672</v>
      </c>
      <c r="AN90" s="16">
        <v>1</v>
      </c>
      <c r="AO90" s="16" t="s">
        <v>1673</v>
      </c>
      <c r="AS90" s="16">
        <v>0</v>
      </c>
      <c r="AT90" s="16">
        <v>0</v>
      </c>
      <c r="AU90" s="16">
        <v>0</v>
      </c>
      <c r="AV90" s="16">
        <v>0</v>
      </c>
      <c r="AW90" s="16">
        <v>0</v>
      </c>
      <c r="AX90" s="16">
        <v>1</v>
      </c>
    </row>
    <row r="91" spans="1:50" s="13" customFormat="1" ht="15.75" customHeight="1">
      <c r="A91" s="10">
        <v>689</v>
      </c>
      <c r="B91" s="11" t="s">
        <v>75</v>
      </c>
      <c r="C91" s="87" t="s">
        <v>810</v>
      </c>
      <c r="D91" s="11"/>
      <c r="E91" s="11" t="s">
        <v>77</v>
      </c>
      <c r="F91" s="12" t="s">
        <v>1674</v>
      </c>
      <c r="G91" s="12" t="s">
        <v>1675</v>
      </c>
      <c r="H91" s="12" t="s">
        <v>1676</v>
      </c>
      <c r="I91" s="12" t="s">
        <v>1677</v>
      </c>
      <c r="J91" s="12">
        <v>2019</v>
      </c>
      <c r="K91" s="12" t="s">
        <v>127</v>
      </c>
      <c r="L91" s="12" t="s">
        <v>1615</v>
      </c>
      <c r="N91" s="12" t="s">
        <v>1678</v>
      </c>
      <c r="O91" s="12">
        <v>156871</v>
      </c>
      <c r="P91" s="12">
        <v>156882</v>
      </c>
      <c r="Q91" s="12">
        <v>11</v>
      </c>
      <c r="R91" s="12">
        <v>14</v>
      </c>
      <c r="S91" s="12" t="s">
        <v>1679</v>
      </c>
      <c r="T91" s="12" t="s">
        <v>1680</v>
      </c>
      <c r="U91" s="12" t="s">
        <v>1681</v>
      </c>
      <c r="V91" s="12" t="s">
        <v>1682</v>
      </c>
      <c r="W91" s="12" t="s">
        <v>1683</v>
      </c>
      <c r="X91" s="12" t="s">
        <v>1684</v>
      </c>
      <c r="Y91" s="12" t="s">
        <v>1685</v>
      </c>
      <c r="Z91" s="12" t="s">
        <v>1686</v>
      </c>
      <c r="AB91" s="12" t="s">
        <v>137</v>
      </c>
      <c r="AC91" s="12" t="s">
        <v>138</v>
      </c>
      <c r="AG91" s="12" t="s">
        <v>95</v>
      </c>
      <c r="AH91" s="12" t="s">
        <v>127</v>
      </c>
      <c r="AI91" s="12" t="s">
        <v>70</v>
      </c>
      <c r="AJ91" s="12" t="s">
        <v>71</v>
      </c>
      <c r="AL91" s="12" t="s">
        <v>72</v>
      </c>
      <c r="AM91" s="12" t="s">
        <v>1687</v>
      </c>
      <c r="AN91" s="12">
        <v>1</v>
      </c>
      <c r="AO91" s="12" t="s">
        <v>1688</v>
      </c>
      <c r="AS91" s="12">
        <v>0</v>
      </c>
      <c r="AT91" s="12">
        <v>0</v>
      </c>
      <c r="AU91" s="12">
        <v>0</v>
      </c>
      <c r="AV91" s="12">
        <v>0</v>
      </c>
      <c r="AW91" s="12">
        <v>0</v>
      </c>
      <c r="AX91" s="12">
        <v>1</v>
      </c>
    </row>
    <row r="92" spans="1:50" s="13" customFormat="1" ht="15.75" customHeight="1">
      <c r="A92" s="10">
        <v>703</v>
      </c>
      <c r="B92" s="11" t="s">
        <v>75</v>
      </c>
      <c r="C92" s="87" t="s">
        <v>1689</v>
      </c>
      <c r="D92" s="11"/>
      <c r="E92" s="11" t="s">
        <v>77</v>
      </c>
      <c r="F92" s="12" t="s">
        <v>1690</v>
      </c>
      <c r="G92" s="12" t="s">
        <v>1691</v>
      </c>
      <c r="H92" s="12" t="s">
        <v>1692</v>
      </c>
      <c r="I92" s="12" t="s">
        <v>1693</v>
      </c>
      <c r="J92" s="12">
        <v>2018</v>
      </c>
      <c r="K92" s="12" t="s">
        <v>1694</v>
      </c>
      <c r="L92" s="12" t="s">
        <v>1615</v>
      </c>
      <c r="M92" s="12" t="s">
        <v>1695</v>
      </c>
      <c r="O92" s="12">
        <v>145</v>
      </c>
      <c r="P92" s="12">
        <v>152</v>
      </c>
      <c r="Q92" s="12">
        <v>7</v>
      </c>
      <c r="R92" s="12">
        <v>2</v>
      </c>
      <c r="T92" s="12" t="s">
        <v>1696</v>
      </c>
      <c r="U92" s="12" t="s">
        <v>1697</v>
      </c>
      <c r="V92" s="12" t="s">
        <v>1698</v>
      </c>
      <c r="W92" s="12" t="s">
        <v>1699</v>
      </c>
      <c r="X92" s="12" t="s">
        <v>1700</v>
      </c>
      <c r="Z92" s="12" t="s">
        <v>1701</v>
      </c>
      <c r="AB92" s="12" t="s">
        <v>1702</v>
      </c>
      <c r="AC92" s="12" t="s">
        <v>1703</v>
      </c>
      <c r="AG92" s="12" t="s">
        <v>95</v>
      </c>
      <c r="AH92" s="12" t="s">
        <v>1704</v>
      </c>
      <c r="AI92" s="12" t="s">
        <v>70</v>
      </c>
      <c r="AJ92" s="12" t="s">
        <v>71</v>
      </c>
      <c r="AL92" s="12" t="s">
        <v>72</v>
      </c>
      <c r="AM92" s="12" t="s">
        <v>1705</v>
      </c>
      <c r="AN92" s="12">
        <v>1</v>
      </c>
      <c r="AO92" s="12" t="s">
        <v>1706</v>
      </c>
      <c r="AQ92" s="12">
        <v>0</v>
      </c>
      <c r="AR92" s="12">
        <v>1</v>
      </c>
      <c r="AS92" s="12">
        <v>0</v>
      </c>
      <c r="AT92" s="12">
        <v>0</v>
      </c>
      <c r="AU92" s="12">
        <v>0</v>
      </c>
      <c r="AV92" s="12">
        <v>0</v>
      </c>
    </row>
    <row r="93" spans="1:50" s="13" customFormat="1" ht="15.75" customHeight="1">
      <c r="A93" s="10">
        <v>704</v>
      </c>
      <c r="B93" s="11" t="s">
        <v>75</v>
      </c>
      <c r="C93" s="29" t="s">
        <v>810</v>
      </c>
      <c r="D93" s="11"/>
      <c r="E93" s="11" t="s">
        <v>77</v>
      </c>
      <c r="F93" s="12" t="s">
        <v>1707</v>
      </c>
      <c r="G93" s="12" t="s">
        <v>1708</v>
      </c>
      <c r="H93" s="12" t="s">
        <v>1709</v>
      </c>
      <c r="I93" s="65" t="s">
        <v>1710</v>
      </c>
      <c r="J93" s="12">
        <v>2018</v>
      </c>
      <c r="K93" s="12" t="s">
        <v>1711</v>
      </c>
      <c r="O93" s="12">
        <v>3013</v>
      </c>
      <c r="P93" s="12">
        <v>3020</v>
      </c>
      <c r="Q93" s="12">
        <v>7</v>
      </c>
      <c r="R93" s="12">
        <v>1</v>
      </c>
      <c r="T93" s="12" t="s">
        <v>1712</v>
      </c>
      <c r="U93" s="12" t="s">
        <v>1713</v>
      </c>
      <c r="V93" s="12" t="s">
        <v>1714</v>
      </c>
      <c r="W93" s="12" t="s">
        <v>1715</v>
      </c>
      <c r="Y93" s="12" t="s">
        <v>1716</v>
      </c>
      <c r="AA93" s="12" t="s">
        <v>1717</v>
      </c>
      <c r="AB93" s="12" t="s">
        <v>1718</v>
      </c>
      <c r="AD93" s="12" t="s">
        <v>1719</v>
      </c>
      <c r="AG93" s="12" t="s">
        <v>95</v>
      </c>
      <c r="AH93" s="12" t="s">
        <v>1720</v>
      </c>
      <c r="AI93" s="12" t="s">
        <v>253</v>
      </c>
      <c r="AJ93" s="12" t="s">
        <v>71</v>
      </c>
      <c r="AL93" s="12" t="s">
        <v>72</v>
      </c>
      <c r="AM93" s="12" t="s">
        <v>1721</v>
      </c>
      <c r="AN93" s="12">
        <v>1</v>
      </c>
      <c r="AO93" s="12" t="s">
        <v>1722</v>
      </c>
      <c r="AQ93" s="12">
        <v>0</v>
      </c>
      <c r="AR93" s="12">
        <v>1</v>
      </c>
      <c r="AS93" s="12">
        <v>0</v>
      </c>
      <c r="AT93" s="12">
        <v>0</v>
      </c>
      <c r="AU93" s="12">
        <v>0</v>
      </c>
      <c r="AV93" s="12">
        <v>0</v>
      </c>
    </row>
    <row r="94" spans="1:50" s="13" customFormat="1" ht="15.75" customHeight="1">
      <c r="A94" s="10">
        <v>707</v>
      </c>
      <c r="B94" s="11" t="s">
        <v>75</v>
      </c>
      <c r="C94" s="87" t="s">
        <v>1723</v>
      </c>
      <c r="D94" s="11"/>
      <c r="E94" s="11" t="s">
        <v>77</v>
      </c>
      <c r="F94" s="12" t="s">
        <v>1724</v>
      </c>
      <c r="G94" s="12" t="s">
        <v>1725</v>
      </c>
      <c r="H94" s="12" t="s">
        <v>1726</v>
      </c>
      <c r="I94" s="65" t="s">
        <v>1727</v>
      </c>
      <c r="J94" s="12">
        <v>2017</v>
      </c>
      <c r="K94" s="12" t="s">
        <v>147</v>
      </c>
      <c r="L94" s="12" t="s">
        <v>434</v>
      </c>
      <c r="O94" s="12">
        <v>4</v>
      </c>
      <c r="P94" s="12">
        <v>15</v>
      </c>
      <c r="Q94" s="12">
        <v>11</v>
      </c>
      <c r="R94" s="12">
        <v>13</v>
      </c>
      <c r="S94" s="12" t="s">
        <v>1728</v>
      </c>
      <c r="T94" s="12" t="s">
        <v>1729</v>
      </c>
      <c r="U94" s="12" t="s">
        <v>1730</v>
      </c>
      <c r="V94" s="12" t="s">
        <v>1731</v>
      </c>
      <c r="W94" s="12" t="s">
        <v>1732</v>
      </c>
      <c r="X94" s="12" t="s">
        <v>1733</v>
      </c>
      <c r="Y94" s="12" t="s">
        <v>1734</v>
      </c>
      <c r="Z94" s="12" t="s">
        <v>1735</v>
      </c>
      <c r="AB94" s="12" t="s">
        <v>158</v>
      </c>
      <c r="AC94" s="12" t="s">
        <v>159</v>
      </c>
      <c r="AG94" s="12" t="s">
        <v>95</v>
      </c>
      <c r="AH94" s="12" t="s">
        <v>160</v>
      </c>
      <c r="AI94" s="12" t="s">
        <v>70</v>
      </c>
      <c r="AJ94" s="12" t="s">
        <v>71</v>
      </c>
      <c r="AL94" s="12" t="s">
        <v>72</v>
      </c>
      <c r="AM94" s="12" t="s">
        <v>1736</v>
      </c>
      <c r="AN94" s="12">
        <v>1</v>
      </c>
      <c r="AO94" s="12" t="s">
        <v>1737</v>
      </c>
      <c r="AS94" s="12">
        <v>0</v>
      </c>
      <c r="AT94" s="12">
        <v>0</v>
      </c>
      <c r="AU94" s="12">
        <v>0</v>
      </c>
      <c r="AV94" s="12">
        <v>0</v>
      </c>
      <c r="AW94" s="12">
        <v>0</v>
      </c>
      <c r="AX94" s="12">
        <v>1</v>
      </c>
    </row>
    <row r="95" spans="1:50" s="17" customFormat="1" ht="15.75" customHeight="1">
      <c r="A95" s="14">
        <v>710</v>
      </c>
      <c r="B95" s="15" t="s">
        <v>75</v>
      </c>
      <c r="C95" s="27"/>
      <c r="D95" s="9" t="s">
        <v>428</v>
      </c>
      <c r="E95" s="9"/>
      <c r="F95" s="16" t="s">
        <v>1738</v>
      </c>
      <c r="G95" s="16" t="s">
        <v>1739</v>
      </c>
      <c r="H95" s="16" t="s">
        <v>1740</v>
      </c>
      <c r="I95" s="16" t="s">
        <v>1741</v>
      </c>
      <c r="J95" s="16">
        <v>2016</v>
      </c>
      <c r="K95" s="16" t="s">
        <v>1039</v>
      </c>
      <c r="O95" s="16">
        <v>10</v>
      </c>
      <c r="P95" s="16">
        <v>14</v>
      </c>
      <c r="Q95" s="16">
        <v>4</v>
      </c>
      <c r="R95" s="16">
        <v>36</v>
      </c>
      <c r="S95" s="16" t="s">
        <v>1742</v>
      </c>
      <c r="T95" s="16" t="s">
        <v>1743</v>
      </c>
      <c r="U95" s="16" t="s">
        <v>1744</v>
      </c>
      <c r="V95" s="16" t="s">
        <v>1745</v>
      </c>
      <c r="W95" s="16" t="s">
        <v>1746</v>
      </c>
      <c r="X95" s="16" t="s">
        <v>1747</v>
      </c>
      <c r="Y95" s="16" t="s">
        <v>1748</v>
      </c>
      <c r="AB95" s="16" t="s">
        <v>1048</v>
      </c>
      <c r="AD95" s="16" t="s">
        <v>1749</v>
      </c>
      <c r="AG95" s="16" t="s">
        <v>95</v>
      </c>
      <c r="AH95" s="16" t="s">
        <v>1050</v>
      </c>
      <c r="AI95" s="16" t="s">
        <v>253</v>
      </c>
      <c r="AJ95" s="16" t="s">
        <v>71</v>
      </c>
      <c r="AL95" s="16" t="s">
        <v>72</v>
      </c>
      <c r="AM95" s="16" t="s">
        <v>1750</v>
      </c>
      <c r="AN95" s="16">
        <v>1</v>
      </c>
      <c r="AO95" s="16" t="s">
        <v>1751</v>
      </c>
      <c r="AS95" s="16">
        <v>0</v>
      </c>
      <c r="AT95" s="16">
        <v>0</v>
      </c>
      <c r="AU95" s="16">
        <v>0</v>
      </c>
      <c r="AV95" s="16">
        <v>0</v>
      </c>
      <c r="AW95" s="16">
        <v>0</v>
      </c>
      <c r="AX95" s="16">
        <v>1</v>
      </c>
    </row>
    <row r="96" spans="1:50" s="17" customFormat="1" ht="15.75" customHeight="1">
      <c r="A96" s="14">
        <v>712</v>
      </c>
      <c r="B96" s="15" t="s">
        <v>75</v>
      </c>
      <c r="C96" s="27"/>
      <c r="D96" s="27" t="s">
        <v>895</v>
      </c>
      <c r="E96" s="27"/>
      <c r="F96" s="16" t="s">
        <v>1752</v>
      </c>
      <c r="G96" s="16" t="s">
        <v>1753</v>
      </c>
      <c r="H96" s="16" t="s">
        <v>1754</v>
      </c>
      <c r="I96" s="16" t="s">
        <v>1755</v>
      </c>
      <c r="J96" s="16">
        <v>2017</v>
      </c>
      <c r="K96" s="16" t="s">
        <v>1756</v>
      </c>
      <c r="N96" s="16" t="s">
        <v>1757</v>
      </c>
      <c r="O96" s="16">
        <v>524</v>
      </c>
      <c r="P96" s="16">
        <v>526</v>
      </c>
      <c r="Q96" s="16">
        <v>2</v>
      </c>
      <c r="R96" s="16">
        <v>54</v>
      </c>
      <c r="S96" s="16" t="s">
        <v>1758</v>
      </c>
      <c r="T96" s="16" t="s">
        <v>1759</v>
      </c>
      <c r="U96" s="16" t="s">
        <v>1760</v>
      </c>
      <c r="V96" s="16" t="s">
        <v>1761</v>
      </c>
      <c r="W96" s="16" t="s">
        <v>1762</v>
      </c>
      <c r="X96" s="16" t="s">
        <v>1763</v>
      </c>
      <c r="Y96" s="16" t="s">
        <v>1764</v>
      </c>
      <c r="AB96" s="16" t="s">
        <v>137</v>
      </c>
      <c r="AD96" s="16" t="s">
        <v>1765</v>
      </c>
      <c r="AG96" s="16" t="s">
        <v>95</v>
      </c>
      <c r="AH96" s="16" t="s">
        <v>1766</v>
      </c>
      <c r="AI96" s="16" t="s">
        <v>253</v>
      </c>
      <c r="AJ96" s="16" t="s">
        <v>71</v>
      </c>
      <c r="AL96" s="16" t="s">
        <v>72</v>
      </c>
      <c r="AM96" s="16" t="s">
        <v>1767</v>
      </c>
      <c r="AN96" s="16">
        <v>1</v>
      </c>
      <c r="AO96" s="16" t="s">
        <v>1768</v>
      </c>
      <c r="AS96" s="16">
        <v>0</v>
      </c>
      <c r="AT96" s="16">
        <v>0</v>
      </c>
      <c r="AU96" s="16">
        <v>0</v>
      </c>
      <c r="AV96" s="16">
        <v>0</v>
      </c>
      <c r="AW96" s="16">
        <v>0</v>
      </c>
      <c r="AX96" s="16">
        <v>1</v>
      </c>
    </row>
    <row r="97" spans="1:50" s="13" customFormat="1" ht="15.75" customHeight="1">
      <c r="A97" s="10">
        <v>715</v>
      </c>
      <c r="B97" s="11" t="s">
        <v>198</v>
      </c>
      <c r="C97" s="26" t="s">
        <v>1769</v>
      </c>
      <c r="D97" s="11"/>
      <c r="E97" s="11"/>
      <c r="F97" s="12" t="s">
        <v>1770</v>
      </c>
      <c r="G97" s="12" t="s">
        <v>1771</v>
      </c>
      <c r="H97" s="12" t="s">
        <v>1772</v>
      </c>
      <c r="I97" s="12" t="s">
        <v>1773</v>
      </c>
      <c r="J97" s="12">
        <v>2017</v>
      </c>
      <c r="K97" s="12" t="s">
        <v>1774</v>
      </c>
      <c r="N97" s="12" t="s">
        <v>1775</v>
      </c>
      <c r="O97" s="12">
        <v>741</v>
      </c>
      <c r="P97" s="12">
        <v>746</v>
      </c>
      <c r="Q97" s="12">
        <v>5</v>
      </c>
      <c r="R97" s="12">
        <v>21</v>
      </c>
      <c r="S97" s="12" t="s">
        <v>1776</v>
      </c>
      <c r="T97" s="12" t="s">
        <v>1777</v>
      </c>
      <c r="U97" s="12" t="s">
        <v>1778</v>
      </c>
      <c r="V97" s="12" t="s">
        <v>1779</v>
      </c>
      <c r="W97" s="12" t="s">
        <v>1780</v>
      </c>
      <c r="X97" s="12" t="s">
        <v>1781</v>
      </c>
      <c r="Y97" s="12" t="s">
        <v>1782</v>
      </c>
      <c r="AA97" s="12" t="s">
        <v>1783</v>
      </c>
      <c r="AB97" s="12" t="s">
        <v>137</v>
      </c>
      <c r="AD97" s="12" t="s">
        <v>1784</v>
      </c>
      <c r="AG97" s="12" t="s">
        <v>95</v>
      </c>
      <c r="AH97" s="12" t="s">
        <v>1785</v>
      </c>
      <c r="AI97" s="12" t="s">
        <v>253</v>
      </c>
      <c r="AJ97" s="12" t="s">
        <v>71</v>
      </c>
      <c r="AL97" s="12" t="s">
        <v>72</v>
      </c>
      <c r="AM97" s="12" t="s">
        <v>1786</v>
      </c>
      <c r="AN97" s="12">
        <v>1</v>
      </c>
      <c r="AO97" s="12" t="s">
        <v>1787</v>
      </c>
      <c r="AS97" s="12">
        <v>0</v>
      </c>
      <c r="AT97" s="12">
        <v>0</v>
      </c>
      <c r="AU97" s="12">
        <v>0</v>
      </c>
      <c r="AV97" s="12">
        <v>0</v>
      </c>
      <c r="AW97" s="12">
        <v>0</v>
      </c>
      <c r="AX97" s="12">
        <v>1</v>
      </c>
    </row>
    <row r="98" spans="1:50" s="17" customFormat="1" ht="15.75" customHeight="1">
      <c r="A98" s="14">
        <v>716</v>
      </c>
      <c r="B98" s="15" t="s">
        <v>75</v>
      </c>
      <c r="C98" s="27" t="s">
        <v>774</v>
      </c>
      <c r="D98" s="28" t="s">
        <v>428</v>
      </c>
      <c r="E98" s="28"/>
      <c r="F98" s="16" t="s">
        <v>1788</v>
      </c>
      <c r="G98" s="16" t="s">
        <v>1789</v>
      </c>
      <c r="H98" s="16" t="s">
        <v>1790</v>
      </c>
      <c r="I98" s="16" t="s">
        <v>1791</v>
      </c>
      <c r="J98" s="16">
        <v>2018</v>
      </c>
      <c r="K98" s="16" t="s">
        <v>1792</v>
      </c>
      <c r="L98" s="16" t="s">
        <v>1793</v>
      </c>
      <c r="O98" s="16">
        <v>1</v>
      </c>
      <c r="P98" s="16">
        <v>5</v>
      </c>
      <c r="Q98" s="16">
        <v>4</v>
      </c>
      <c r="R98" s="16">
        <v>44</v>
      </c>
      <c r="S98" s="16" t="s">
        <v>1794</v>
      </c>
      <c r="T98" s="16" t="s">
        <v>1795</v>
      </c>
      <c r="U98" s="16" t="s">
        <v>1796</v>
      </c>
      <c r="V98" s="16" t="s">
        <v>1797</v>
      </c>
      <c r="W98" s="16" t="s">
        <v>1798</v>
      </c>
      <c r="X98" s="16" t="s">
        <v>1799</v>
      </c>
      <c r="Y98" s="16" t="s">
        <v>1800</v>
      </c>
      <c r="AA98" s="16" t="s">
        <v>1082</v>
      </c>
      <c r="AB98" s="16" t="s">
        <v>137</v>
      </c>
      <c r="AD98" s="16" t="s">
        <v>1801</v>
      </c>
      <c r="AG98" s="16" t="s">
        <v>95</v>
      </c>
      <c r="AH98" s="16" t="s">
        <v>1802</v>
      </c>
      <c r="AI98" s="16" t="s">
        <v>253</v>
      </c>
      <c r="AJ98" s="16" t="s">
        <v>71</v>
      </c>
      <c r="AL98" s="16" t="s">
        <v>72</v>
      </c>
      <c r="AM98" s="16" t="s">
        <v>1803</v>
      </c>
      <c r="AN98" s="16">
        <v>1</v>
      </c>
      <c r="AO98" s="16" t="s">
        <v>1804</v>
      </c>
      <c r="AQ98" s="16">
        <v>0</v>
      </c>
      <c r="AR98" s="16">
        <v>1</v>
      </c>
      <c r="AS98" s="16">
        <v>0</v>
      </c>
      <c r="AT98" s="16">
        <v>0</v>
      </c>
      <c r="AU98" s="16">
        <v>0</v>
      </c>
      <c r="AV98" s="16">
        <v>0</v>
      </c>
    </row>
    <row r="99" spans="1:50" s="13" customFormat="1" ht="15.75" customHeight="1">
      <c r="A99" s="10">
        <v>717</v>
      </c>
      <c r="B99" s="11" t="s">
        <v>75</v>
      </c>
      <c r="C99" s="87" t="s">
        <v>1805</v>
      </c>
      <c r="D99" s="11"/>
      <c r="E99" s="11" t="s">
        <v>77</v>
      </c>
      <c r="F99" s="12" t="s">
        <v>1806</v>
      </c>
      <c r="G99" s="12" t="s">
        <v>1807</v>
      </c>
      <c r="H99" s="12" t="s">
        <v>1808</v>
      </c>
      <c r="I99" s="12" t="s">
        <v>1809</v>
      </c>
      <c r="J99" s="12">
        <v>2017</v>
      </c>
      <c r="K99" s="12" t="s">
        <v>1810</v>
      </c>
      <c r="N99" s="12" t="s">
        <v>1811</v>
      </c>
      <c r="O99" s="12">
        <v>56</v>
      </c>
      <c r="P99" s="12">
        <v>61</v>
      </c>
      <c r="Q99" s="12">
        <v>5</v>
      </c>
      <c r="R99" s="12">
        <v>40</v>
      </c>
      <c r="S99" s="12" t="s">
        <v>1812</v>
      </c>
      <c r="T99" s="12" t="s">
        <v>1813</v>
      </c>
      <c r="U99" s="12" t="s">
        <v>1814</v>
      </c>
      <c r="V99" s="12" t="s">
        <v>1815</v>
      </c>
      <c r="W99" s="12" t="s">
        <v>1816</v>
      </c>
      <c r="X99" s="12" t="s">
        <v>1817</v>
      </c>
      <c r="Y99" s="12" t="s">
        <v>1818</v>
      </c>
      <c r="AB99" s="12" t="s">
        <v>137</v>
      </c>
      <c r="AD99" s="12" t="s">
        <v>1819</v>
      </c>
      <c r="AG99" s="12" t="s">
        <v>95</v>
      </c>
      <c r="AH99" s="12" t="s">
        <v>1820</v>
      </c>
      <c r="AI99" s="12" t="s">
        <v>253</v>
      </c>
      <c r="AJ99" s="12" t="s">
        <v>71</v>
      </c>
      <c r="AL99" s="12" t="s">
        <v>72</v>
      </c>
      <c r="AM99" s="12" t="s">
        <v>1821</v>
      </c>
      <c r="AN99" s="12">
        <v>1</v>
      </c>
      <c r="AO99" s="12" t="s">
        <v>1822</v>
      </c>
      <c r="AS99" s="12">
        <v>0</v>
      </c>
      <c r="AT99" s="12">
        <v>0</v>
      </c>
      <c r="AU99" s="12">
        <v>0</v>
      </c>
      <c r="AV99" s="12">
        <v>0</v>
      </c>
      <c r="AW99" s="12">
        <v>0</v>
      </c>
      <c r="AX99" s="12">
        <v>1</v>
      </c>
    </row>
    <row r="100" spans="1:50" s="13" customFormat="1" ht="15.75" customHeight="1">
      <c r="A100" s="10">
        <v>718</v>
      </c>
      <c r="B100" s="11" t="s">
        <v>75</v>
      </c>
      <c r="C100" s="26" t="s">
        <v>361</v>
      </c>
      <c r="D100" s="11"/>
      <c r="E100" s="11" t="s">
        <v>77</v>
      </c>
      <c r="F100" s="12" t="s">
        <v>1823</v>
      </c>
      <c r="G100" s="12" t="s">
        <v>1824</v>
      </c>
      <c r="H100" s="12" t="s">
        <v>1825</v>
      </c>
      <c r="I100" s="12" t="s">
        <v>1826</v>
      </c>
      <c r="J100" s="12">
        <v>2018</v>
      </c>
      <c r="K100" s="12" t="s">
        <v>1827</v>
      </c>
      <c r="L100" s="12" t="s">
        <v>1793</v>
      </c>
      <c r="O100" s="12">
        <v>581</v>
      </c>
      <c r="P100" s="12">
        <v>588</v>
      </c>
      <c r="Q100" s="12">
        <v>7</v>
      </c>
      <c r="R100" s="12">
        <v>10</v>
      </c>
      <c r="S100" s="12" t="s">
        <v>1828</v>
      </c>
      <c r="T100" s="12" t="s">
        <v>1829</v>
      </c>
      <c r="U100" s="12" t="s">
        <v>1830</v>
      </c>
      <c r="V100" s="12" t="s">
        <v>1831</v>
      </c>
      <c r="W100" s="12" t="s">
        <v>1832</v>
      </c>
      <c r="X100" s="12" t="s">
        <v>1833</v>
      </c>
      <c r="Y100" s="12" t="s">
        <v>1834</v>
      </c>
      <c r="AA100" s="12" t="s">
        <v>1835</v>
      </c>
      <c r="AB100" s="12" t="s">
        <v>1836</v>
      </c>
      <c r="AD100" s="12" t="s">
        <v>1837</v>
      </c>
      <c r="AG100" s="12" t="s">
        <v>95</v>
      </c>
      <c r="AH100" s="12" t="s">
        <v>1838</v>
      </c>
      <c r="AI100" s="12" t="s">
        <v>253</v>
      </c>
      <c r="AJ100" s="12" t="s">
        <v>71</v>
      </c>
      <c r="AK100" s="12" t="s">
        <v>408</v>
      </c>
      <c r="AL100" s="12" t="s">
        <v>72</v>
      </c>
      <c r="AM100" s="12" t="s">
        <v>1839</v>
      </c>
      <c r="AN100" s="12">
        <v>1</v>
      </c>
      <c r="AO100" s="12" t="s">
        <v>1840</v>
      </c>
      <c r="AS100" s="12">
        <v>0</v>
      </c>
      <c r="AT100" s="12">
        <v>0</v>
      </c>
      <c r="AU100" s="12">
        <v>0</v>
      </c>
      <c r="AV100" s="12">
        <v>0</v>
      </c>
      <c r="AW100" s="12">
        <v>0</v>
      </c>
      <c r="AX100" s="12">
        <v>1</v>
      </c>
    </row>
    <row r="101" spans="1:50" s="13" customFormat="1" ht="34.5" customHeight="1">
      <c r="A101" s="10">
        <v>722</v>
      </c>
      <c r="B101" s="11" t="s">
        <v>75</v>
      </c>
      <c r="C101" s="87" t="s">
        <v>1841</v>
      </c>
      <c r="D101" s="11"/>
      <c r="E101" s="11" t="s">
        <v>77</v>
      </c>
      <c r="F101" s="12" t="s">
        <v>1842</v>
      </c>
      <c r="G101" s="12" t="s">
        <v>1843</v>
      </c>
      <c r="H101" s="12" t="s">
        <v>1844</v>
      </c>
      <c r="I101" s="12" t="s">
        <v>1845</v>
      </c>
      <c r="J101" s="12">
        <v>2017</v>
      </c>
      <c r="K101" s="12" t="s">
        <v>1846</v>
      </c>
      <c r="L101" s="12" t="s">
        <v>1793</v>
      </c>
      <c r="O101" s="12">
        <v>1</v>
      </c>
      <c r="P101" s="12">
        <v>6</v>
      </c>
      <c r="Q101" s="12">
        <v>5</v>
      </c>
      <c r="R101" s="12">
        <v>76</v>
      </c>
      <c r="S101" s="12" t="s">
        <v>1847</v>
      </c>
      <c r="T101" s="12" t="s">
        <v>1848</v>
      </c>
      <c r="U101" s="12" t="s">
        <v>1849</v>
      </c>
      <c r="V101" s="12" t="s">
        <v>1850</v>
      </c>
      <c r="W101" s="12" t="s">
        <v>1851</v>
      </c>
      <c r="X101" s="12" t="s">
        <v>1852</v>
      </c>
      <c r="Y101" s="12" t="s">
        <v>1853</v>
      </c>
      <c r="AB101" s="12" t="s">
        <v>137</v>
      </c>
      <c r="AD101" s="12" t="s">
        <v>1854</v>
      </c>
      <c r="AG101" s="12" t="s">
        <v>95</v>
      </c>
      <c r="AH101" s="12" t="s">
        <v>1855</v>
      </c>
      <c r="AI101" s="12" t="s">
        <v>253</v>
      </c>
      <c r="AJ101" s="12" t="s">
        <v>71</v>
      </c>
      <c r="AL101" s="12" t="s">
        <v>72</v>
      </c>
      <c r="AM101" s="12" t="s">
        <v>1856</v>
      </c>
      <c r="AN101" s="12">
        <v>1</v>
      </c>
      <c r="AO101" s="12" t="s">
        <v>1857</v>
      </c>
      <c r="AQ101" s="12">
        <v>0</v>
      </c>
      <c r="AR101" s="12">
        <v>1</v>
      </c>
      <c r="AS101" s="12">
        <v>0</v>
      </c>
      <c r="AT101" s="12">
        <v>0</v>
      </c>
      <c r="AU101" s="12">
        <v>0</v>
      </c>
      <c r="AV101" s="12">
        <v>0</v>
      </c>
    </row>
    <row r="102" spans="1:50" s="13" customFormat="1" ht="15.75" customHeight="1">
      <c r="A102" s="10">
        <v>727</v>
      </c>
      <c r="B102" s="11" t="s">
        <v>75</v>
      </c>
      <c r="C102" s="26" t="s">
        <v>1858</v>
      </c>
      <c r="D102" s="11"/>
      <c r="E102" s="11" t="s">
        <v>77</v>
      </c>
      <c r="F102" s="12" t="s">
        <v>1859</v>
      </c>
      <c r="G102" s="12" t="s">
        <v>1860</v>
      </c>
      <c r="H102" s="12" t="s">
        <v>1861</v>
      </c>
      <c r="I102" s="12" t="s">
        <v>1862</v>
      </c>
      <c r="J102" s="12">
        <v>2018</v>
      </c>
      <c r="K102" s="12" t="s">
        <v>667</v>
      </c>
      <c r="L102" s="12" t="s">
        <v>1863</v>
      </c>
      <c r="O102" s="12">
        <v>127</v>
      </c>
      <c r="P102" s="12">
        <v>144</v>
      </c>
      <c r="Q102" s="12">
        <v>17</v>
      </c>
      <c r="R102" s="12">
        <v>10</v>
      </c>
      <c r="S102" s="12" t="s">
        <v>1864</v>
      </c>
      <c r="T102" s="12" t="s">
        <v>1865</v>
      </c>
      <c r="U102" s="12" t="s">
        <v>1866</v>
      </c>
      <c r="V102" s="12" t="s">
        <v>1867</v>
      </c>
      <c r="W102" s="12" t="s">
        <v>1868</v>
      </c>
      <c r="Y102" s="12" t="s">
        <v>1869</v>
      </c>
      <c r="Z102" s="12" t="s">
        <v>1870</v>
      </c>
      <c r="AA102" s="12" t="s">
        <v>1871</v>
      </c>
      <c r="AB102" s="12" t="s">
        <v>1605</v>
      </c>
      <c r="AC102" s="12" t="s">
        <v>678</v>
      </c>
      <c r="AD102" s="12" t="s">
        <v>1872</v>
      </c>
      <c r="AG102" s="12" t="s">
        <v>95</v>
      </c>
      <c r="AH102" s="12" t="s">
        <v>680</v>
      </c>
      <c r="AI102" s="12" t="s">
        <v>253</v>
      </c>
      <c r="AJ102" s="12" t="s">
        <v>71</v>
      </c>
      <c r="AL102" s="12" t="s">
        <v>72</v>
      </c>
      <c r="AM102" s="12" t="s">
        <v>1873</v>
      </c>
      <c r="AN102" s="12">
        <v>1</v>
      </c>
      <c r="AO102" s="12" t="s">
        <v>1874</v>
      </c>
      <c r="AS102" s="12">
        <v>0</v>
      </c>
      <c r="AT102" s="12">
        <v>0</v>
      </c>
      <c r="AU102" s="12">
        <v>0</v>
      </c>
      <c r="AV102" s="12">
        <v>0</v>
      </c>
      <c r="AW102" s="12">
        <v>0</v>
      </c>
      <c r="AX102" s="12">
        <v>1</v>
      </c>
    </row>
    <row r="103" spans="1:50" s="17" customFormat="1" ht="15.75" customHeight="1">
      <c r="A103" s="14">
        <v>743</v>
      </c>
      <c r="B103" s="15" t="s">
        <v>75</v>
      </c>
      <c r="C103" s="27"/>
      <c r="D103" s="15" t="s">
        <v>1376</v>
      </c>
      <c r="E103" s="15"/>
      <c r="F103" s="16" t="s">
        <v>1875</v>
      </c>
      <c r="G103" s="16" t="s">
        <v>1876</v>
      </c>
      <c r="H103" s="16" t="s">
        <v>1877</v>
      </c>
      <c r="I103" s="16" t="s">
        <v>1878</v>
      </c>
      <c r="J103" s="16">
        <v>2017</v>
      </c>
      <c r="K103" s="16" t="s">
        <v>1879</v>
      </c>
      <c r="L103" s="16" t="s">
        <v>1880</v>
      </c>
      <c r="O103" s="16">
        <v>904</v>
      </c>
      <c r="P103" s="16">
        <v>907</v>
      </c>
      <c r="Q103" s="16">
        <v>3</v>
      </c>
      <c r="R103" s="16">
        <v>8</v>
      </c>
      <c r="S103" s="16" t="s">
        <v>1881</v>
      </c>
      <c r="T103" s="16" t="s">
        <v>1882</v>
      </c>
      <c r="U103" s="16" t="s">
        <v>1883</v>
      </c>
      <c r="V103" s="16" t="s">
        <v>1884</v>
      </c>
      <c r="W103" s="16" t="s">
        <v>1885</v>
      </c>
      <c r="X103" s="16" t="s">
        <v>1886</v>
      </c>
      <c r="Y103" s="16" t="s">
        <v>1887</v>
      </c>
      <c r="AB103" s="16" t="s">
        <v>137</v>
      </c>
      <c r="AD103" s="16" t="s">
        <v>1888</v>
      </c>
      <c r="AG103" s="16" t="s">
        <v>95</v>
      </c>
      <c r="AH103" s="16" t="s">
        <v>1889</v>
      </c>
      <c r="AI103" s="16" t="s">
        <v>253</v>
      </c>
      <c r="AJ103" s="16" t="s">
        <v>71</v>
      </c>
      <c r="AL103" s="16" t="s">
        <v>72</v>
      </c>
      <c r="AM103" s="16" t="s">
        <v>1890</v>
      </c>
      <c r="AN103" s="16">
        <v>1</v>
      </c>
      <c r="AO103" s="16" t="s">
        <v>1891</v>
      </c>
      <c r="AS103" s="16">
        <v>0</v>
      </c>
      <c r="AT103" s="16">
        <v>0</v>
      </c>
      <c r="AU103" s="16">
        <v>0</v>
      </c>
      <c r="AV103" s="16">
        <v>0</v>
      </c>
      <c r="AW103" s="16">
        <v>1</v>
      </c>
      <c r="AX103" s="16">
        <v>0</v>
      </c>
    </row>
    <row r="104" spans="1:50" s="17" customFormat="1" ht="15.75" customHeight="1">
      <c r="A104" s="14">
        <v>759</v>
      </c>
      <c r="B104" s="15" t="s">
        <v>75</v>
      </c>
      <c r="C104" s="15"/>
      <c r="D104" s="15" t="s">
        <v>1376</v>
      </c>
      <c r="E104" s="15"/>
      <c r="F104" s="16" t="s">
        <v>1892</v>
      </c>
      <c r="G104" s="16" t="s">
        <v>1893</v>
      </c>
      <c r="H104" s="16" t="s">
        <v>1894</v>
      </c>
      <c r="I104" s="16" t="s">
        <v>1895</v>
      </c>
      <c r="J104" s="16">
        <v>2018</v>
      </c>
      <c r="K104" s="16" t="s">
        <v>1896</v>
      </c>
      <c r="L104" s="16" t="s">
        <v>1897</v>
      </c>
      <c r="N104" s="16" t="s">
        <v>1898</v>
      </c>
      <c r="R104" s="16">
        <v>5</v>
      </c>
      <c r="S104" s="16" t="s">
        <v>1899</v>
      </c>
      <c r="T104" s="16" t="s">
        <v>1900</v>
      </c>
      <c r="U104" s="16" t="s">
        <v>1901</v>
      </c>
      <c r="V104" s="16" t="s">
        <v>1902</v>
      </c>
      <c r="W104" s="16" t="s">
        <v>1903</v>
      </c>
      <c r="Y104" s="16" t="s">
        <v>1904</v>
      </c>
      <c r="Z104" s="16" t="s">
        <v>1905</v>
      </c>
      <c r="AA104" s="16" t="s">
        <v>1906</v>
      </c>
      <c r="AB104" s="16" t="s">
        <v>1907</v>
      </c>
      <c r="AC104" s="16" t="s">
        <v>1908</v>
      </c>
      <c r="AG104" s="16" t="s">
        <v>95</v>
      </c>
      <c r="AH104" s="16" t="s">
        <v>1909</v>
      </c>
      <c r="AI104" s="16" t="s">
        <v>253</v>
      </c>
      <c r="AJ104" s="16" t="s">
        <v>71</v>
      </c>
      <c r="AK104" s="16" t="s">
        <v>640</v>
      </c>
      <c r="AL104" s="16" t="s">
        <v>72</v>
      </c>
      <c r="AM104" s="16" t="s">
        <v>1910</v>
      </c>
      <c r="AN104" s="16">
        <v>1</v>
      </c>
      <c r="AO104" s="16" t="s">
        <v>1911</v>
      </c>
      <c r="AQ104" s="16">
        <v>0</v>
      </c>
      <c r="AR104" s="16">
        <v>1</v>
      </c>
      <c r="AS104" s="16">
        <v>0</v>
      </c>
      <c r="AT104" s="16">
        <v>0</v>
      </c>
      <c r="AU104" s="16">
        <v>0</v>
      </c>
      <c r="AV104" s="16">
        <v>0</v>
      </c>
    </row>
    <row r="105" spans="1:50" s="17" customFormat="1" ht="15.75" customHeight="1">
      <c r="A105" s="14">
        <v>781</v>
      </c>
      <c r="B105" s="15" t="s">
        <v>75</v>
      </c>
      <c r="C105" s="27"/>
      <c r="D105" s="15" t="s">
        <v>1912</v>
      </c>
      <c r="E105" s="15"/>
      <c r="F105" s="16" t="s">
        <v>1913</v>
      </c>
      <c r="G105" s="16" t="s">
        <v>1914</v>
      </c>
      <c r="H105" s="16" t="s">
        <v>1915</v>
      </c>
      <c r="I105" s="16" t="s">
        <v>1916</v>
      </c>
      <c r="J105" s="16">
        <v>2016</v>
      </c>
      <c r="K105" s="16" t="s">
        <v>1917</v>
      </c>
      <c r="N105" s="16" t="s">
        <v>1918</v>
      </c>
      <c r="R105" s="16">
        <v>7</v>
      </c>
      <c r="S105" s="16" t="s">
        <v>1919</v>
      </c>
      <c r="T105" s="16" t="s">
        <v>1920</v>
      </c>
      <c r="U105" s="16" t="s">
        <v>1921</v>
      </c>
      <c r="V105" s="16" t="s">
        <v>1922</v>
      </c>
      <c r="W105" s="16" t="s">
        <v>1923</v>
      </c>
      <c r="X105" s="16" t="s">
        <v>1924</v>
      </c>
      <c r="Y105" s="16" t="s">
        <v>1925</v>
      </c>
      <c r="AB105" s="16" t="s">
        <v>137</v>
      </c>
      <c r="AD105" s="16" t="s">
        <v>1926</v>
      </c>
      <c r="AG105" s="16" t="s">
        <v>95</v>
      </c>
      <c r="AH105" s="16" t="s">
        <v>1927</v>
      </c>
      <c r="AI105" s="16" t="s">
        <v>253</v>
      </c>
      <c r="AJ105" s="16" t="s">
        <v>71</v>
      </c>
      <c r="AL105" s="16" t="s">
        <v>72</v>
      </c>
      <c r="AM105" s="16" t="s">
        <v>1928</v>
      </c>
      <c r="AN105" s="16">
        <v>1</v>
      </c>
      <c r="AO105" s="16" t="s">
        <v>1929</v>
      </c>
      <c r="AS105" s="16">
        <v>0</v>
      </c>
      <c r="AT105" s="16">
        <v>0</v>
      </c>
      <c r="AU105" s="16">
        <v>0</v>
      </c>
      <c r="AV105" s="16">
        <v>0</v>
      </c>
      <c r="AW105" s="16">
        <v>1</v>
      </c>
      <c r="AX105" s="16">
        <v>0</v>
      </c>
    </row>
    <row r="106" spans="1:50" s="17" customFormat="1" ht="15.75" customHeight="1">
      <c r="A106" s="14">
        <v>786</v>
      </c>
      <c r="B106" s="15" t="s">
        <v>75</v>
      </c>
      <c r="C106" s="27"/>
      <c r="D106" s="15" t="s">
        <v>1930</v>
      </c>
      <c r="E106" s="15"/>
      <c r="F106" s="16" t="s">
        <v>1931</v>
      </c>
      <c r="G106" s="16" t="s">
        <v>1932</v>
      </c>
      <c r="H106" s="16" t="s">
        <v>1933</v>
      </c>
      <c r="I106" s="16" t="s">
        <v>1934</v>
      </c>
      <c r="J106" s="16">
        <v>2017</v>
      </c>
      <c r="K106" s="16" t="s">
        <v>1935</v>
      </c>
      <c r="N106" s="16" t="s">
        <v>1936</v>
      </c>
      <c r="R106" s="16">
        <v>24</v>
      </c>
      <c r="S106" s="16" t="s">
        <v>1937</v>
      </c>
      <c r="T106" s="16" t="s">
        <v>1938</v>
      </c>
      <c r="U106" s="16" t="s">
        <v>1939</v>
      </c>
      <c r="V106" s="16" t="s">
        <v>1940</v>
      </c>
      <c r="W106" s="16" t="s">
        <v>1941</v>
      </c>
      <c r="Y106" s="16" t="s">
        <v>1942</v>
      </c>
      <c r="AB106" s="16" t="s">
        <v>137</v>
      </c>
      <c r="AD106" s="16" t="s">
        <v>1943</v>
      </c>
      <c r="AG106" s="16" t="s">
        <v>95</v>
      </c>
      <c r="AH106" s="16" t="s">
        <v>1944</v>
      </c>
      <c r="AI106" s="16" t="s">
        <v>253</v>
      </c>
      <c r="AJ106" s="16" t="s">
        <v>71</v>
      </c>
      <c r="AL106" s="16" t="s">
        <v>72</v>
      </c>
      <c r="AM106" s="16" t="s">
        <v>1945</v>
      </c>
      <c r="AN106" s="16">
        <v>1</v>
      </c>
      <c r="AO106" s="16" t="s">
        <v>1946</v>
      </c>
      <c r="AQ106" s="16">
        <v>1</v>
      </c>
      <c r="AR106" s="16">
        <v>0</v>
      </c>
      <c r="AS106" s="16">
        <v>0</v>
      </c>
      <c r="AT106" s="16">
        <v>0</v>
      </c>
      <c r="AU106" s="16">
        <v>0</v>
      </c>
      <c r="AV106" s="16">
        <v>0</v>
      </c>
    </row>
    <row r="107" spans="1:50" s="13" customFormat="1" ht="15.75" customHeight="1">
      <c r="A107" s="10">
        <v>788</v>
      </c>
      <c r="B107" s="11" t="s">
        <v>75</v>
      </c>
      <c r="C107" s="26" t="s">
        <v>1947</v>
      </c>
      <c r="D107" s="11"/>
      <c r="E107" s="11" t="s">
        <v>77</v>
      </c>
      <c r="F107" s="12" t="s">
        <v>1948</v>
      </c>
      <c r="G107" s="12" t="s">
        <v>1949</v>
      </c>
      <c r="H107" s="12" t="s">
        <v>1950</v>
      </c>
      <c r="I107" s="12" t="s">
        <v>1951</v>
      </c>
      <c r="J107" s="12">
        <v>2018</v>
      </c>
      <c r="K107" s="12" t="s">
        <v>1694</v>
      </c>
      <c r="L107" s="12" t="s">
        <v>1615</v>
      </c>
      <c r="M107" s="12" t="s">
        <v>1695</v>
      </c>
      <c r="O107" s="12">
        <v>153</v>
      </c>
      <c r="P107" s="12">
        <v>159</v>
      </c>
      <c r="Q107" s="12">
        <v>6</v>
      </c>
      <c r="R107" s="12">
        <v>11</v>
      </c>
      <c r="T107" s="12" t="s">
        <v>1952</v>
      </c>
      <c r="U107" s="12" t="s">
        <v>1953</v>
      </c>
      <c r="V107" s="12" t="s">
        <v>1954</v>
      </c>
      <c r="W107" s="12" t="s">
        <v>1955</v>
      </c>
      <c r="X107" s="12" t="s">
        <v>1956</v>
      </c>
      <c r="Z107" s="12" t="s">
        <v>1957</v>
      </c>
      <c r="AB107" s="12" t="s">
        <v>1702</v>
      </c>
      <c r="AC107" s="12" t="s">
        <v>1703</v>
      </c>
      <c r="AG107" s="12" t="s">
        <v>95</v>
      </c>
      <c r="AH107" s="12" t="s">
        <v>1704</v>
      </c>
      <c r="AI107" s="12" t="s">
        <v>70</v>
      </c>
      <c r="AJ107" s="12" t="s">
        <v>71</v>
      </c>
      <c r="AL107" s="12" t="s">
        <v>72</v>
      </c>
      <c r="AM107" s="12" t="s">
        <v>1958</v>
      </c>
      <c r="AN107" s="12">
        <v>1</v>
      </c>
      <c r="AO107" s="12" t="s">
        <v>1959</v>
      </c>
      <c r="AQ107" s="12">
        <v>0</v>
      </c>
      <c r="AR107" s="12">
        <v>1</v>
      </c>
      <c r="AS107" s="12">
        <v>0</v>
      </c>
      <c r="AT107" s="12">
        <v>0</v>
      </c>
      <c r="AU107" s="12">
        <v>0</v>
      </c>
      <c r="AV107" s="12">
        <v>0</v>
      </c>
    </row>
    <row r="108" spans="1:50" s="17" customFormat="1" ht="15.75" customHeight="1">
      <c r="A108" s="14">
        <v>808</v>
      </c>
      <c r="B108" s="15" t="s">
        <v>75</v>
      </c>
      <c r="C108" s="27"/>
      <c r="D108" s="15" t="s">
        <v>643</v>
      </c>
      <c r="E108" s="15"/>
      <c r="F108" s="16" t="s">
        <v>1960</v>
      </c>
      <c r="G108" s="16" t="s">
        <v>1961</v>
      </c>
      <c r="H108" s="16" t="s">
        <v>1962</v>
      </c>
      <c r="I108" s="16" t="s">
        <v>1963</v>
      </c>
      <c r="J108" s="16">
        <v>2016</v>
      </c>
      <c r="K108" s="16" t="s">
        <v>1964</v>
      </c>
      <c r="L108" s="16" t="s">
        <v>1965</v>
      </c>
      <c r="O108" s="16">
        <v>1092</v>
      </c>
      <c r="P108" s="16">
        <v>1105</v>
      </c>
      <c r="Q108" s="16">
        <v>13</v>
      </c>
      <c r="R108" s="16">
        <v>322</v>
      </c>
      <c r="S108" s="16" t="s">
        <v>1966</v>
      </c>
      <c r="T108" s="16" t="s">
        <v>1967</v>
      </c>
      <c r="U108" s="16" t="s">
        <v>1968</v>
      </c>
      <c r="V108" s="16" t="s">
        <v>1969</v>
      </c>
      <c r="W108" s="16" t="s">
        <v>1970</v>
      </c>
      <c r="X108" s="16" t="s">
        <v>1971</v>
      </c>
      <c r="Y108" s="16" t="s">
        <v>1972</v>
      </c>
      <c r="AB108" s="16" t="s">
        <v>1048</v>
      </c>
      <c r="AC108" s="16" t="s">
        <v>1973</v>
      </c>
      <c r="AD108" s="16" t="s">
        <v>1974</v>
      </c>
      <c r="AG108" s="16" t="s">
        <v>95</v>
      </c>
      <c r="AH108" s="16" t="s">
        <v>1975</v>
      </c>
      <c r="AI108" s="16" t="s">
        <v>253</v>
      </c>
      <c r="AJ108" s="16" t="s">
        <v>71</v>
      </c>
      <c r="AK108" s="16" t="s">
        <v>1249</v>
      </c>
      <c r="AL108" s="16" t="s">
        <v>72</v>
      </c>
      <c r="AM108" s="16" t="s">
        <v>1976</v>
      </c>
      <c r="AN108" s="16">
        <v>1</v>
      </c>
      <c r="AO108" s="16" t="s">
        <v>1977</v>
      </c>
      <c r="AS108" s="16">
        <v>0</v>
      </c>
      <c r="AT108" s="16">
        <v>0</v>
      </c>
      <c r="AU108" s="16">
        <v>0</v>
      </c>
      <c r="AV108" s="16">
        <v>0</v>
      </c>
      <c r="AW108" s="16">
        <v>0</v>
      </c>
      <c r="AX108" s="16">
        <v>1</v>
      </c>
    </row>
    <row r="109" spans="1:50" s="17" customFormat="1" ht="15.75" customHeight="1">
      <c r="A109" s="14">
        <v>812</v>
      </c>
      <c r="B109" s="15" t="s">
        <v>75</v>
      </c>
      <c r="C109" s="27" t="s">
        <v>774</v>
      </c>
      <c r="D109" s="15" t="s">
        <v>1376</v>
      </c>
      <c r="E109" s="15"/>
      <c r="F109" s="16" t="s">
        <v>1978</v>
      </c>
      <c r="G109" s="16" t="s">
        <v>1979</v>
      </c>
      <c r="H109" s="16" t="s">
        <v>1980</v>
      </c>
      <c r="I109" s="16" t="s">
        <v>1981</v>
      </c>
      <c r="J109" s="16">
        <v>2014</v>
      </c>
      <c r="K109" s="16" t="s">
        <v>1982</v>
      </c>
      <c r="O109" s="16">
        <v>301</v>
      </c>
      <c r="P109" s="16">
        <v>312</v>
      </c>
      <c r="Q109" s="16">
        <v>11</v>
      </c>
      <c r="R109" s="16">
        <v>1</v>
      </c>
      <c r="T109" s="16" t="s">
        <v>1983</v>
      </c>
      <c r="U109" s="16" t="s">
        <v>1984</v>
      </c>
      <c r="V109" s="16" t="s">
        <v>1985</v>
      </c>
      <c r="W109" s="16" t="s">
        <v>1986</v>
      </c>
      <c r="X109" s="16" t="s">
        <v>1987</v>
      </c>
      <c r="Y109" s="16" t="s">
        <v>1988</v>
      </c>
      <c r="AA109" s="16" t="s">
        <v>1989</v>
      </c>
      <c r="AB109" s="16" t="s">
        <v>1990</v>
      </c>
      <c r="AD109" s="16" t="s">
        <v>1991</v>
      </c>
      <c r="AG109" s="16" t="s">
        <v>95</v>
      </c>
      <c r="AH109" s="16" t="s">
        <v>1992</v>
      </c>
      <c r="AI109" s="16" t="s">
        <v>253</v>
      </c>
      <c r="AJ109" s="16" t="s">
        <v>71</v>
      </c>
      <c r="AL109" s="16" t="s">
        <v>72</v>
      </c>
      <c r="AM109" s="16" t="s">
        <v>1993</v>
      </c>
      <c r="AN109" s="16">
        <v>1</v>
      </c>
      <c r="AO109" s="16" t="s">
        <v>1994</v>
      </c>
      <c r="AS109" s="16">
        <v>0</v>
      </c>
      <c r="AT109" s="16">
        <v>0</v>
      </c>
      <c r="AU109" s="16">
        <v>0</v>
      </c>
      <c r="AV109" s="16">
        <v>0</v>
      </c>
      <c r="AW109" s="16">
        <v>0</v>
      </c>
      <c r="AX109" s="16">
        <v>1</v>
      </c>
    </row>
    <row r="110" spans="1:50" s="13" customFormat="1" ht="15.75" customHeight="1">
      <c r="A110" s="10">
        <v>813</v>
      </c>
      <c r="B110" s="11" t="s">
        <v>75</v>
      </c>
      <c r="C110" s="26" t="s">
        <v>361</v>
      </c>
      <c r="D110" s="11"/>
      <c r="E110" s="11" t="s">
        <v>77</v>
      </c>
      <c r="F110" s="12" t="s">
        <v>1995</v>
      </c>
      <c r="G110" s="12" t="s">
        <v>1996</v>
      </c>
      <c r="H110" s="12" t="s">
        <v>1997</v>
      </c>
      <c r="I110" s="12" t="s">
        <v>1998</v>
      </c>
      <c r="J110" s="12">
        <v>2013</v>
      </c>
      <c r="K110" s="12" t="s">
        <v>1999</v>
      </c>
      <c r="N110" s="12" t="s">
        <v>2000</v>
      </c>
      <c r="O110" s="12">
        <v>81</v>
      </c>
      <c r="P110" s="12">
        <v>85</v>
      </c>
      <c r="Q110" s="12">
        <v>4</v>
      </c>
      <c r="R110" s="12">
        <v>41</v>
      </c>
      <c r="S110" s="12" t="s">
        <v>2001</v>
      </c>
      <c r="T110" s="12" t="s">
        <v>2002</v>
      </c>
      <c r="U110" s="12" t="s">
        <v>2003</v>
      </c>
      <c r="V110" s="12" t="s">
        <v>2004</v>
      </c>
      <c r="W110" s="12" t="s">
        <v>2005</v>
      </c>
      <c r="X110" s="12" t="s">
        <v>2006</v>
      </c>
      <c r="AD110" s="12" t="s">
        <v>2007</v>
      </c>
      <c r="AG110" s="12" t="s">
        <v>95</v>
      </c>
      <c r="AH110" s="12" t="s">
        <v>2008</v>
      </c>
      <c r="AI110" s="12" t="s">
        <v>253</v>
      </c>
      <c r="AJ110" s="12" t="s">
        <v>71</v>
      </c>
      <c r="AL110" s="12" t="s">
        <v>72</v>
      </c>
      <c r="AM110" s="12" t="s">
        <v>2009</v>
      </c>
      <c r="AN110" s="12">
        <v>1</v>
      </c>
      <c r="AO110" s="12" t="s">
        <v>2010</v>
      </c>
      <c r="AQ110" s="12">
        <v>0</v>
      </c>
      <c r="AR110" s="12">
        <v>1</v>
      </c>
      <c r="AS110" s="12">
        <v>0</v>
      </c>
      <c r="AT110" s="12">
        <v>0</v>
      </c>
      <c r="AU110" s="12">
        <v>0</v>
      </c>
      <c r="AV110" s="12">
        <v>0</v>
      </c>
    </row>
    <row r="111" spans="1:50" s="13" customFormat="1" ht="15.75" customHeight="1">
      <c r="A111" s="10">
        <v>820</v>
      </c>
      <c r="B111" s="11" t="s">
        <v>75</v>
      </c>
      <c r="C111" s="26" t="s">
        <v>361</v>
      </c>
      <c r="D111" s="11"/>
      <c r="E111" s="11" t="s">
        <v>77</v>
      </c>
      <c r="F111" s="12" t="s">
        <v>2011</v>
      </c>
      <c r="G111" s="12" t="s">
        <v>2012</v>
      </c>
      <c r="H111" s="12" t="s">
        <v>2013</v>
      </c>
      <c r="I111" s="12" t="s">
        <v>2014</v>
      </c>
      <c r="J111" s="12">
        <v>2013</v>
      </c>
      <c r="K111" s="12" t="s">
        <v>147</v>
      </c>
      <c r="L111" s="12" t="s">
        <v>1149</v>
      </c>
      <c r="M111" s="12" t="s">
        <v>58</v>
      </c>
      <c r="O111" s="12">
        <v>76</v>
      </c>
      <c r="P111" s="12">
        <v>84</v>
      </c>
      <c r="Q111" s="12">
        <v>8</v>
      </c>
      <c r="R111" s="12">
        <v>137</v>
      </c>
      <c r="S111" s="12" t="s">
        <v>2015</v>
      </c>
      <c r="T111" s="12" t="s">
        <v>2016</v>
      </c>
      <c r="U111" s="12" t="s">
        <v>2017</v>
      </c>
      <c r="V111" s="12" t="s">
        <v>2018</v>
      </c>
      <c r="W111" s="12" t="s">
        <v>2019</v>
      </c>
      <c r="X111" s="12" t="s">
        <v>2020</v>
      </c>
      <c r="Y111" s="12" t="s">
        <v>2021</v>
      </c>
      <c r="Z111" s="12" t="s">
        <v>2022</v>
      </c>
      <c r="AC111" s="12" t="s">
        <v>159</v>
      </c>
      <c r="AG111" s="12" t="s">
        <v>95</v>
      </c>
      <c r="AH111" s="12" t="s">
        <v>160</v>
      </c>
      <c r="AI111" s="12" t="s">
        <v>70</v>
      </c>
      <c r="AJ111" s="12" t="s">
        <v>71</v>
      </c>
      <c r="AL111" s="12" t="s">
        <v>72</v>
      </c>
      <c r="AM111" s="12" t="s">
        <v>2023</v>
      </c>
      <c r="AN111" s="12">
        <v>1</v>
      </c>
      <c r="AO111" s="12" t="s">
        <v>2024</v>
      </c>
      <c r="AS111" s="12">
        <v>0</v>
      </c>
      <c r="AT111" s="12">
        <v>0</v>
      </c>
      <c r="AU111" s="12">
        <v>0</v>
      </c>
      <c r="AV111" s="12">
        <v>0</v>
      </c>
      <c r="AW111" s="12">
        <v>0</v>
      </c>
      <c r="AX111" s="12">
        <v>1</v>
      </c>
    </row>
    <row r="112" spans="1:50" s="13" customFormat="1" ht="15.75" customHeight="1">
      <c r="A112" s="10">
        <v>836</v>
      </c>
      <c r="B112" s="11" t="s">
        <v>75</v>
      </c>
      <c r="C112" s="26" t="s">
        <v>361</v>
      </c>
      <c r="D112" s="11"/>
      <c r="E112" s="11" t="s">
        <v>77</v>
      </c>
      <c r="F112" s="12" t="s">
        <v>2025</v>
      </c>
      <c r="G112" s="12" t="s">
        <v>2026</v>
      </c>
      <c r="H112" s="12" t="s">
        <v>2027</v>
      </c>
      <c r="I112" s="12" t="s">
        <v>2028</v>
      </c>
      <c r="J112" s="12">
        <v>2016</v>
      </c>
      <c r="K112" s="12" t="s">
        <v>2029</v>
      </c>
      <c r="L112" s="12" t="s">
        <v>2030</v>
      </c>
      <c r="O112" s="12">
        <v>75</v>
      </c>
      <c r="P112" s="12">
        <v>89</v>
      </c>
      <c r="Q112" s="12">
        <v>14</v>
      </c>
      <c r="R112" s="12">
        <v>60</v>
      </c>
      <c r="S112" s="12" t="s">
        <v>2031</v>
      </c>
      <c r="T112" s="12" t="s">
        <v>2032</v>
      </c>
      <c r="U112" s="12" t="s">
        <v>2033</v>
      </c>
      <c r="V112" s="12" t="s">
        <v>2034</v>
      </c>
      <c r="W112" s="12" t="s">
        <v>2035</v>
      </c>
      <c r="X112" s="12" t="s">
        <v>2036</v>
      </c>
      <c r="Y112" s="12" t="s">
        <v>2037</v>
      </c>
      <c r="Z112" s="12" t="s">
        <v>2038</v>
      </c>
      <c r="AA112" s="12" t="s">
        <v>2039</v>
      </c>
      <c r="AB112" s="12" t="s">
        <v>2040</v>
      </c>
      <c r="AC112" s="12" t="s">
        <v>2041</v>
      </c>
      <c r="AD112" s="12" t="s">
        <v>2042</v>
      </c>
      <c r="AG112" s="12" t="s">
        <v>95</v>
      </c>
      <c r="AH112" s="12" t="s">
        <v>2043</v>
      </c>
      <c r="AI112" s="12" t="s">
        <v>253</v>
      </c>
      <c r="AJ112" s="12" t="s">
        <v>71</v>
      </c>
      <c r="AL112" s="12" t="s">
        <v>72</v>
      </c>
      <c r="AM112" s="12" t="s">
        <v>2044</v>
      </c>
      <c r="AN112" s="12">
        <v>1</v>
      </c>
      <c r="AO112" s="12" t="s">
        <v>2045</v>
      </c>
      <c r="AS112" s="12">
        <v>0</v>
      </c>
      <c r="AT112" s="12">
        <v>0</v>
      </c>
      <c r="AU112" s="12">
        <v>0</v>
      </c>
      <c r="AV112" s="12">
        <v>0</v>
      </c>
      <c r="AW112" s="12">
        <v>0</v>
      </c>
      <c r="AX112" s="12">
        <v>1</v>
      </c>
    </row>
    <row r="113" spans="1:50" s="13" customFormat="1" ht="15.75" customHeight="1">
      <c r="A113" s="10">
        <v>840</v>
      </c>
      <c r="B113" s="11" t="s">
        <v>75</v>
      </c>
      <c r="C113" s="26" t="s">
        <v>361</v>
      </c>
      <c r="D113" s="11"/>
      <c r="E113" s="11" t="s">
        <v>77</v>
      </c>
      <c r="F113" s="12" t="s">
        <v>2046</v>
      </c>
      <c r="G113" s="12" t="s">
        <v>2047</v>
      </c>
      <c r="H113" s="12" t="s">
        <v>2048</v>
      </c>
      <c r="I113" s="12" t="s">
        <v>2049</v>
      </c>
      <c r="J113" s="12">
        <v>2016</v>
      </c>
      <c r="K113" s="12" t="s">
        <v>2050</v>
      </c>
      <c r="N113" s="12" t="s">
        <v>2051</v>
      </c>
      <c r="O113" s="12">
        <v>31</v>
      </c>
      <c r="P113" s="12">
        <v>36</v>
      </c>
      <c r="Q113" s="12">
        <v>5</v>
      </c>
      <c r="R113" s="12">
        <v>674</v>
      </c>
      <c r="S113" s="12" t="s">
        <v>2052</v>
      </c>
      <c r="T113" s="12" t="s">
        <v>2053</v>
      </c>
      <c r="U113" s="12" t="s">
        <v>2054</v>
      </c>
      <c r="V113" s="12" t="s">
        <v>2055</v>
      </c>
      <c r="W113" s="12" t="s">
        <v>2056</v>
      </c>
      <c r="X113" s="12" t="s">
        <v>2057</v>
      </c>
      <c r="Y113" s="12" t="s">
        <v>2058</v>
      </c>
      <c r="Z113" s="12" t="s">
        <v>2059</v>
      </c>
      <c r="AB113" s="12" t="s">
        <v>137</v>
      </c>
      <c r="AD113" s="12" t="s">
        <v>2060</v>
      </c>
      <c r="AG113" s="12" t="s">
        <v>95</v>
      </c>
      <c r="AH113" s="12" t="s">
        <v>2061</v>
      </c>
      <c r="AI113" s="12" t="s">
        <v>253</v>
      </c>
      <c r="AJ113" s="12" t="s">
        <v>71</v>
      </c>
      <c r="AL113" s="12" t="s">
        <v>72</v>
      </c>
      <c r="AM113" s="12" t="s">
        <v>2062</v>
      </c>
      <c r="AN113" s="12">
        <v>1</v>
      </c>
      <c r="AO113" s="12" t="s">
        <v>2063</v>
      </c>
      <c r="AS113" s="12">
        <v>0</v>
      </c>
      <c r="AT113" s="12">
        <v>0</v>
      </c>
      <c r="AU113" s="12">
        <v>0</v>
      </c>
      <c r="AV113" s="12">
        <v>0</v>
      </c>
      <c r="AW113" s="12">
        <v>0</v>
      </c>
      <c r="AX113" s="12">
        <v>1</v>
      </c>
    </row>
    <row r="114" spans="1:50" s="13" customFormat="1" ht="32.25" customHeight="1">
      <c r="A114" s="10">
        <v>844</v>
      </c>
      <c r="B114" s="11" t="s">
        <v>75</v>
      </c>
      <c r="C114" s="22" t="s">
        <v>2064</v>
      </c>
      <c r="D114" s="11"/>
      <c r="E114" s="11" t="s">
        <v>77</v>
      </c>
      <c r="F114" s="12" t="s">
        <v>2065</v>
      </c>
      <c r="G114" s="12" t="s">
        <v>2066</v>
      </c>
      <c r="H114" s="12" t="s">
        <v>2067</v>
      </c>
      <c r="I114" s="12" t="s">
        <v>2068</v>
      </c>
      <c r="J114" s="12">
        <v>2015</v>
      </c>
      <c r="K114" s="12" t="s">
        <v>2069</v>
      </c>
      <c r="N114" s="12" t="s">
        <v>2070</v>
      </c>
      <c r="R114" s="12">
        <v>71</v>
      </c>
      <c r="S114" s="12" t="s">
        <v>2071</v>
      </c>
      <c r="T114" s="12" t="s">
        <v>2072</v>
      </c>
      <c r="U114" s="12" t="s">
        <v>2073</v>
      </c>
      <c r="V114" s="12" t="s">
        <v>2074</v>
      </c>
      <c r="W114" s="12" t="s">
        <v>2075</v>
      </c>
      <c r="X114" s="12" t="s">
        <v>2076</v>
      </c>
      <c r="Y114" s="12" t="s">
        <v>2077</v>
      </c>
      <c r="AB114" s="12" t="s">
        <v>137</v>
      </c>
      <c r="AD114" s="12" t="s">
        <v>2078</v>
      </c>
      <c r="AG114" s="12" t="s">
        <v>95</v>
      </c>
      <c r="AH114" s="12" t="s">
        <v>2079</v>
      </c>
      <c r="AI114" s="12" t="s">
        <v>253</v>
      </c>
      <c r="AJ114" s="12" t="s">
        <v>71</v>
      </c>
      <c r="AL114" s="12" t="s">
        <v>72</v>
      </c>
      <c r="AM114" s="12" t="s">
        <v>2080</v>
      </c>
      <c r="AN114" s="12">
        <v>1</v>
      </c>
      <c r="AO114" s="12" t="s">
        <v>2081</v>
      </c>
      <c r="AQ114" s="12">
        <v>1</v>
      </c>
      <c r="AR114" s="12">
        <v>1</v>
      </c>
      <c r="AS114" s="12">
        <v>0</v>
      </c>
      <c r="AT114" s="12">
        <v>0</v>
      </c>
      <c r="AU114" s="12">
        <v>0</v>
      </c>
      <c r="AV114" s="12">
        <v>0</v>
      </c>
    </row>
    <row r="115" spans="1:50" s="17" customFormat="1" ht="15.75" customHeight="1">
      <c r="A115" s="14">
        <v>853</v>
      </c>
      <c r="B115" s="15" t="s">
        <v>75</v>
      </c>
      <c r="C115" s="15"/>
      <c r="D115" s="9" t="s">
        <v>428</v>
      </c>
      <c r="E115" s="9"/>
      <c r="F115" s="16" t="s">
        <v>2082</v>
      </c>
      <c r="G115" s="16" t="s">
        <v>2083</v>
      </c>
      <c r="H115" s="16" t="s">
        <v>2084</v>
      </c>
      <c r="I115" s="16" t="s">
        <v>2085</v>
      </c>
      <c r="J115" s="16">
        <v>2016</v>
      </c>
      <c r="K115" s="16" t="s">
        <v>2086</v>
      </c>
      <c r="N115" s="16" t="s">
        <v>2087</v>
      </c>
      <c r="R115" s="16">
        <v>20</v>
      </c>
      <c r="S115" s="16" t="s">
        <v>2088</v>
      </c>
      <c r="T115" s="16" t="s">
        <v>2089</v>
      </c>
      <c r="U115" s="16" t="s">
        <v>2090</v>
      </c>
      <c r="V115" s="16" t="s">
        <v>2091</v>
      </c>
      <c r="W115" s="16" t="s">
        <v>2092</v>
      </c>
      <c r="X115" s="16" t="s">
        <v>2093</v>
      </c>
      <c r="Y115" s="16" t="s">
        <v>2094</v>
      </c>
      <c r="AB115" s="16" t="s">
        <v>137</v>
      </c>
      <c r="AD115" s="16" t="s">
        <v>2095</v>
      </c>
      <c r="AG115" s="16" t="s">
        <v>95</v>
      </c>
      <c r="AH115" s="16" t="s">
        <v>2096</v>
      </c>
      <c r="AI115" s="16" t="s">
        <v>253</v>
      </c>
      <c r="AJ115" s="16" t="s">
        <v>71</v>
      </c>
      <c r="AL115" s="16" t="s">
        <v>72</v>
      </c>
      <c r="AM115" s="16" t="s">
        <v>2097</v>
      </c>
      <c r="AN115" s="16">
        <v>1</v>
      </c>
      <c r="AO115" s="16" t="s">
        <v>2098</v>
      </c>
      <c r="AS115" s="16">
        <v>0</v>
      </c>
      <c r="AT115" s="16">
        <v>0</v>
      </c>
      <c r="AU115" s="16">
        <v>0</v>
      </c>
      <c r="AV115" s="16">
        <v>0</v>
      </c>
      <c r="AW115" s="16">
        <v>0</v>
      </c>
      <c r="AX115" s="16">
        <v>1</v>
      </c>
    </row>
    <row r="116" spans="1:50" s="13" customFormat="1" ht="15.75" customHeight="1">
      <c r="A116" s="10">
        <v>862</v>
      </c>
      <c r="B116" s="11" t="s">
        <v>75</v>
      </c>
      <c r="C116" s="26" t="s">
        <v>810</v>
      </c>
      <c r="D116" s="11"/>
      <c r="E116" s="11" t="s">
        <v>77</v>
      </c>
      <c r="F116" s="12" t="s">
        <v>2011</v>
      </c>
      <c r="G116" s="12" t="s">
        <v>2012</v>
      </c>
      <c r="H116" s="12" t="s">
        <v>2013</v>
      </c>
      <c r="I116" s="12" t="s">
        <v>2099</v>
      </c>
      <c r="J116" s="12">
        <v>2013</v>
      </c>
      <c r="K116" s="12" t="s">
        <v>2100</v>
      </c>
      <c r="O116" s="12">
        <v>9</v>
      </c>
      <c r="P116" s="12">
        <v>15</v>
      </c>
      <c r="Q116" s="12">
        <v>6</v>
      </c>
      <c r="R116" s="12">
        <v>11</v>
      </c>
      <c r="T116" s="12" t="s">
        <v>2101</v>
      </c>
      <c r="U116" s="12" t="s">
        <v>2102</v>
      </c>
      <c r="V116" s="12" t="s">
        <v>2103</v>
      </c>
      <c r="W116" s="12" t="s">
        <v>2104</v>
      </c>
      <c r="X116" s="12" t="s">
        <v>2105</v>
      </c>
      <c r="Y116" s="12" t="s">
        <v>2106</v>
      </c>
      <c r="AB116" s="12" t="s">
        <v>2107</v>
      </c>
      <c r="AD116" s="12" t="s">
        <v>2108</v>
      </c>
      <c r="AG116" s="12" t="s">
        <v>95</v>
      </c>
      <c r="AH116" s="12" t="s">
        <v>2109</v>
      </c>
      <c r="AI116" s="12" t="s">
        <v>253</v>
      </c>
      <c r="AJ116" s="12" t="s">
        <v>71</v>
      </c>
      <c r="AL116" s="12" t="s">
        <v>72</v>
      </c>
      <c r="AM116" s="12" t="s">
        <v>2110</v>
      </c>
      <c r="AN116" s="12">
        <v>1</v>
      </c>
      <c r="AO116" s="12" t="s">
        <v>2111</v>
      </c>
      <c r="AS116" s="12">
        <v>0</v>
      </c>
      <c r="AT116" s="12">
        <v>0</v>
      </c>
      <c r="AU116" s="12">
        <v>0</v>
      </c>
      <c r="AV116" s="12">
        <v>0</v>
      </c>
      <c r="AW116" s="12">
        <v>1</v>
      </c>
      <c r="AX116" s="12">
        <v>1</v>
      </c>
    </row>
    <row r="117" spans="1:50" s="17" customFormat="1" ht="15.75" customHeight="1">
      <c r="A117" s="14">
        <v>864</v>
      </c>
      <c r="B117" s="15" t="s">
        <v>75</v>
      </c>
      <c r="C117" s="15"/>
      <c r="D117" s="15" t="s">
        <v>2112</v>
      </c>
      <c r="E117" s="15"/>
      <c r="F117" s="16" t="s">
        <v>2113</v>
      </c>
      <c r="G117" s="16" t="s">
        <v>2114</v>
      </c>
      <c r="H117" s="16" t="s">
        <v>2115</v>
      </c>
      <c r="I117" s="16" t="s">
        <v>2116</v>
      </c>
      <c r="J117" s="16">
        <v>2012</v>
      </c>
      <c r="K117" s="16" t="s">
        <v>2117</v>
      </c>
      <c r="N117" s="16" t="s">
        <v>2118</v>
      </c>
      <c r="R117" s="16">
        <v>26</v>
      </c>
      <c r="S117" s="16" t="s">
        <v>2119</v>
      </c>
      <c r="T117" s="16" t="s">
        <v>2120</v>
      </c>
      <c r="U117" s="16" t="s">
        <v>2121</v>
      </c>
      <c r="V117" s="16" t="s">
        <v>2122</v>
      </c>
      <c r="W117" s="16" t="s">
        <v>2123</v>
      </c>
      <c r="X117" s="16" t="s">
        <v>2124</v>
      </c>
      <c r="Y117" s="16" t="s">
        <v>2125</v>
      </c>
      <c r="AD117" s="16" t="s">
        <v>2126</v>
      </c>
      <c r="AG117" s="16" t="s">
        <v>95</v>
      </c>
      <c r="AH117" s="16" t="s">
        <v>2127</v>
      </c>
      <c r="AI117" s="16" t="s">
        <v>253</v>
      </c>
      <c r="AJ117" s="16" t="s">
        <v>71</v>
      </c>
      <c r="AL117" s="16" t="s">
        <v>72</v>
      </c>
      <c r="AM117" s="16" t="s">
        <v>2128</v>
      </c>
      <c r="AN117" s="16">
        <v>1</v>
      </c>
      <c r="AO117" s="16" t="s">
        <v>2129</v>
      </c>
      <c r="AS117" s="16">
        <v>0</v>
      </c>
      <c r="AT117" s="16">
        <v>0</v>
      </c>
      <c r="AU117" s="16">
        <v>0</v>
      </c>
      <c r="AV117" s="16">
        <v>0</v>
      </c>
      <c r="AW117" s="16">
        <v>0</v>
      </c>
      <c r="AX117" s="16">
        <v>1</v>
      </c>
    </row>
    <row r="118" spans="1:50" s="17" customFormat="1" ht="15.75" customHeight="1">
      <c r="A118" s="14">
        <v>865</v>
      </c>
      <c r="B118" s="15"/>
      <c r="C118" s="27"/>
      <c r="D118" s="15" t="s">
        <v>2130</v>
      </c>
      <c r="E118" s="15"/>
      <c r="F118" s="16" t="s">
        <v>2131</v>
      </c>
      <c r="G118" s="16" t="s">
        <v>2132</v>
      </c>
      <c r="H118" s="16" t="s">
        <v>2133</v>
      </c>
      <c r="I118" s="16" t="s">
        <v>2134</v>
      </c>
      <c r="J118" s="16">
        <v>2015</v>
      </c>
      <c r="K118" s="16" t="s">
        <v>2135</v>
      </c>
      <c r="O118" s="16">
        <v>3597</v>
      </c>
      <c r="P118" s="16">
        <v>3604</v>
      </c>
      <c r="Q118" s="16">
        <v>7</v>
      </c>
      <c r="R118" s="16">
        <v>0</v>
      </c>
      <c r="S118" s="16" t="s">
        <v>2136</v>
      </c>
      <c r="T118" s="16" t="s">
        <v>2137</v>
      </c>
      <c r="U118" s="16" t="s">
        <v>2138</v>
      </c>
      <c r="V118" s="16" t="s">
        <v>2139</v>
      </c>
      <c r="W118" s="16" t="s">
        <v>2140</v>
      </c>
      <c r="Y118" s="16" t="s">
        <v>2141</v>
      </c>
      <c r="AA118" s="16" t="s">
        <v>2142</v>
      </c>
      <c r="AB118" s="16" t="s">
        <v>1718</v>
      </c>
      <c r="AD118" s="16" t="s">
        <v>2143</v>
      </c>
      <c r="AG118" s="16" t="s">
        <v>95</v>
      </c>
      <c r="AH118" s="16" t="s">
        <v>2144</v>
      </c>
      <c r="AI118" s="16" t="s">
        <v>253</v>
      </c>
      <c r="AJ118" s="16" t="s">
        <v>71</v>
      </c>
      <c r="AL118" s="16" t="s">
        <v>72</v>
      </c>
      <c r="AM118" s="16" t="s">
        <v>2145</v>
      </c>
      <c r="AN118" s="16">
        <v>1</v>
      </c>
      <c r="AO118" s="16" t="s">
        <v>2146</v>
      </c>
      <c r="AQ118" s="16">
        <v>1</v>
      </c>
      <c r="AR118" s="16">
        <v>1</v>
      </c>
      <c r="AS118" s="16">
        <v>0</v>
      </c>
      <c r="AT118" s="16">
        <v>0</v>
      </c>
      <c r="AU118" s="16">
        <v>0</v>
      </c>
      <c r="AV118" s="16">
        <v>0</v>
      </c>
    </row>
    <row r="119" spans="1:50" s="13" customFormat="1" ht="15.75" customHeight="1">
      <c r="A119" s="10">
        <v>870</v>
      </c>
      <c r="B119" s="11" t="s">
        <v>75</v>
      </c>
      <c r="C119" s="26" t="s">
        <v>810</v>
      </c>
      <c r="D119" s="11"/>
      <c r="E119" s="11" t="s">
        <v>77</v>
      </c>
      <c r="F119" s="12" t="s">
        <v>2147</v>
      </c>
      <c r="G119" s="12" t="s">
        <v>2148</v>
      </c>
      <c r="H119" s="12" t="s">
        <v>2149</v>
      </c>
      <c r="I119" s="12" t="s">
        <v>2150</v>
      </c>
      <c r="J119" s="12">
        <v>2016</v>
      </c>
      <c r="K119" s="12" t="s">
        <v>2151</v>
      </c>
      <c r="N119" s="12" t="s">
        <v>2152</v>
      </c>
      <c r="R119" s="12">
        <v>12</v>
      </c>
      <c r="S119" s="12" t="s">
        <v>2153</v>
      </c>
      <c r="T119" s="12" t="s">
        <v>2154</v>
      </c>
      <c r="U119" s="12" t="s">
        <v>2155</v>
      </c>
      <c r="V119" s="12" t="s">
        <v>2156</v>
      </c>
      <c r="W119" s="12" t="s">
        <v>2157</v>
      </c>
      <c r="X119" s="12" t="s">
        <v>2158</v>
      </c>
      <c r="Y119" s="12" t="s">
        <v>2159</v>
      </c>
      <c r="AB119" s="12" t="s">
        <v>137</v>
      </c>
      <c r="AD119" s="12" t="s">
        <v>2160</v>
      </c>
      <c r="AG119" s="12" t="s">
        <v>95</v>
      </c>
      <c r="AH119" s="12" t="s">
        <v>2161</v>
      </c>
      <c r="AI119" s="12" t="s">
        <v>253</v>
      </c>
      <c r="AJ119" s="12" t="s">
        <v>71</v>
      </c>
      <c r="AL119" s="12" t="s">
        <v>72</v>
      </c>
      <c r="AM119" s="12" t="s">
        <v>2162</v>
      </c>
      <c r="AN119" s="12">
        <v>1</v>
      </c>
      <c r="AO119" s="12" t="s">
        <v>2163</v>
      </c>
      <c r="AS119" s="12">
        <v>0</v>
      </c>
      <c r="AT119" s="12">
        <v>0</v>
      </c>
      <c r="AU119" s="12">
        <v>0</v>
      </c>
      <c r="AV119" s="12">
        <v>0</v>
      </c>
      <c r="AW119" s="12">
        <v>0</v>
      </c>
      <c r="AX119" s="12">
        <v>1</v>
      </c>
    </row>
    <row r="120" spans="1:50" s="13" customFormat="1" ht="15.75" customHeight="1">
      <c r="A120" s="10">
        <v>882</v>
      </c>
      <c r="B120" s="11" t="s">
        <v>75</v>
      </c>
      <c r="C120" s="26" t="s">
        <v>1947</v>
      </c>
      <c r="D120" s="11"/>
      <c r="E120" s="11" t="s">
        <v>77</v>
      </c>
      <c r="F120" s="12" t="s">
        <v>2164</v>
      </c>
      <c r="G120" s="12" t="s">
        <v>2165</v>
      </c>
      <c r="H120" s="12" t="s">
        <v>2166</v>
      </c>
      <c r="I120" s="12" t="s">
        <v>2167</v>
      </c>
      <c r="J120" s="12">
        <v>2015</v>
      </c>
      <c r="K120" s="12" t="s">
        <v>2168</v>
      </c>
      <c r="L120" s="12" t="s">
        <v>2169</v>
      </c>
      <c r="N120" s="12" t="s">
        <v>2170</v>
      </c>
      <c r="R120" s="12">
        <v>88</v>
      </c>
      <c r="S120" s="12" t="s">
        <v>2171</v>
      </c>
      <c r="T120" s="12" t="s">
        <v>2172</v>
      </c>
      <c r="U120" s="12" t="s">
        <v>2173</v>
      </c>
      <c r="V120" s="12" t="s">
        <v>2174</v>
      </c>
      <c r="W120" s="12" t="s">
        <v>2175</v>
      </c>
      <c r="X120" s="12" t="s">
        <v>2176</v>
      </c>
      <c r="Y120" s="12" t="s">
        <v>2177</v>
      </c>
      <c r="AB120" s="12" t="s">
        <v>137</v>
      </c>
      <c r="AC120" s="12" t="s">
        <v>2178</v>
      </c>
      <c r="AD120" s="12" t="s">
        <v>2179</v>
      </c>
      <c r="AE120" s="12" t="s">
        <v>2180</v>
      </c>
      <c r="AG120" s="12" t="s">
        <v>95</v>
      </c>
      <c r="AH120" s="12" t="s">
        <v>2181</v>
      </c>
      <c r="AI120" s="12" t="s">
        <v>253</v>
      </c>
      <c r="AJ120" s="12" t="s">
        <v>71</v>
      </c>
      <c r="AK120" s="12" t="s">
        <v>715</v>
      </c>
      <c r="AL120" s="12" t="s">
        <v>72</v>
      </c>
      <c r="AM120" s="12" t="s">
        <v>2182</v>
      </c>
      <c r="AN120" s="12">
        <v>1</v>
      </c>
      <c r="AO120" s="12" t="s">
        <v>2183</v>
      </c>
      <c r="AS120" s="12">
        <v>0</v>
      </c>
      <c r="AT120" s="12">
        <v>0</v>
      </c>
      <c r="AU120" s="12">
        <v>0</v>
      </c>
      <c r="AV120" s="12">
        <v>0</v>
      </c>
      <c r="AW120" s="12">
        <v>0</v>
      </c>
      <c r="AX120" s="12">
        <v>1</v>
      </c>
    </row>
    <row r="121" spans="1:50" s="13" customFormat="1" ht="15.75" customHeight="1">
      <c r="A121" s="10">
        <v>884</v>
      </c>
      <c r="B121" s="11" t="s">
        <v>75</v>
      </c>
      <c r="C121" s="26" t="s">
        <v>2184</v>
      </c>
      <c r="D121" s="11"/>
      <c r="E121" s="11" t="s">
        <v>77</v>
      </c>
      <c r="F121" s="12" t="s">
        <v>2185</v>
      </c>
      <c r="G121" s="12" t="s">
        <v>2186</v>
      </c>
      <c r="H121" s="12" t="s">
        <v>2187</v>
      </c>
      <c r="I121" s="12" t="s">
        <v>2188</v>
      </c>
      <c r="J121" s="12">
        <v>2016</v>
      </c>
      <c r="K121" s="12" t="s">
        <v>2189</v>
      </c>
      <c r="N121" s="12" t="s">
        <v>2190</v>
      </c>
      <c r="O121" s="12">
        <v>96</v>
      </c>
      <c r="P121" s="12">
        <v>103</v>
      </c>
      <c r="Q121" s="12">
        <v>7</v>
      </c>
      <c r="R121" s="12">
        <v>85</v>
      </c>
      <c r="S121" s="12" t="s">
        <v>2191</v>
      </c>
      <c r="T121" s="12" t="s">
        <v>2192</v>
      </c>
      <c r="U121" s="12" t="s">
        <v>2193</v>
      </c>
      <c r="V121" s="12" t="s">
        <v>2194</v>
      </c>
      <c r="W121" s="12" t="s">
        <v>2195</v>
      </c>
      <c r="Y121" s="12" t="s">
        <v>2196</v>
      </c>
      <c r="AB121" s="12" t="s">
        <v>137</v>
      </c>
      <c r="AD121" s="12" t="s">
        <v>2197</v>
      </c>
      <c r="AG121" s="12" t="s">
        <v>95</v>
      </c>
      <c r="AH121" s="12" t="s">
        <v>2198</v>
      </c>
      <c r="AI121" s="12" t="s">
        <v>253</v>
      </c>
      <c r="AJ121" s="12" t="s">
        <v>71</v>
      </c>
      <c r="AL121" s="12" t="s">
        <v>72</v>
      </c>
      <c r="AM121" s="12" t="s">
        <v>2199</v>
      </c>
      <c r="AN121" s="12">
        <v>1</v>
      </c>
      <c r="AO121" s="12" t="s">
        <v>2200</v>
      </c>
      <c r="AS121" s="12">
        <v>0</v>
      </c>
      <c r="AT121" s="12">
        <v>0</v>
      </c>
      <c r="AU121" s="12">
        <v>0</v>
      </c>
      <c r="AV121" s="12">
        <v>0</v>
      </c>
      <c r="AW121" s="12">
        <v>0</v>
      </c>
      <c r="AX121" s="12">
        <v>1</v>
      </c>
    </row>
    <row r="122" spans="1:50" s="17" customFormat="1" ht="15.75" customHeight="1">
      <c r="A122" s="14">
        <v>889</v>
      </c>
      <c r="B122" s="15" t="s">
        <v>75</v>
      </c>
      <c r="C122" s="27"/>
      <c r="D122" s="15" t="s">
        <v>1376</v>
      </c>
      <c r="E122" s="15"/>
      <c r="F122" s="16" t="s">
        <v>2201</v>
      </c>
      <c r="G122" s="16" t="s">
        <v>2202</v>
      </c>
      <c r="H122" s="16" t="s">
        <v>2203</v>
      </c>
      <c r="I122" s="16" t="s">
        <v>2204</v>
      </c>
      <c r="J122" s="16">
        <v>2014</v>
      </c>
      <c r="K122" s="16" t="s">
        <v>2205</v>
      </c>
      <c r="N122" s="16" t="s">
        <v>2206</v>
      </c>
      <c r="O122" s="16">
        <v>324</v>
      </c>
      <c r="P122" s="16">
        <v>327</v>
      </c>
      <c r="Q122" s="16">
        <v>3</v>
      </c>
      <c r="R122" s="16">
        <v>17</v>
      </c>
      <c r="S122" s="16" t="s">
        <v>2207</v>
      </c>
      <c r="T122" s="16" t="s">
        <v>2208</v>
      </c>
      <c r="U122" s="16" t="s">
        <v>2209</v>
      </c>
      <c r="V122" s="16" t="s">
        <v>2210</v>
      </c>
      <c r="W122" s="16" t="s">
        <v>2211</v>
      </c>
      <c r="X122" s="16" t="s">
        <v>2212</v>
      </c>
      <c r="Y122" s="16" t="s">
        <v>2213</v>
      </c>
      <c r="AB122" s="16" t="s">
        <v>137</v>
      </c>
      <c r="AC122" s="16" t="s">
        <v>2214</v>
      </c>
      <c r="AD122" s="16" t="s">
        <v>2215</v>
      </c>
      <c r="AG122" s="16" t="s">
        <v>95</v>
      </c>
      <c r="AH122" s="16" t="s">
        <v>2216</v>
      </c>
      <c r="AI122" s="16" t="s">
        <v>253</v>
      </c>
      <c r="AJ122" s="16" t="s">
        <v>71</v>
      </c>
      <c r="AK122" s="16" t="s">
        <v>715</v>
      </c>
      <c r="AL122" s="16" t="s">
        <v>72</v>
      </c>
      <c r="AM122" s="16" t="s">
        <v>2217</v>
      </c>
      <c r="AN122" s="16">
        <v>1</v>
      </c>
      <c r="AO122" s="16" t="s">
        <v>2218</v>
      </c>
      <c r="AS122" s="16">
        <v>0</v>
      </c>
      <c r="AT122" s="16">
        <v>0</v>
      </c>
      <c r="AU122" s="16">
        <v>0</v>
      </c>
      <c r="AV122" s="16">
        <v>0</v>
      </c>
      <c r="AW122" s="16">
        <v>0</v>
      </c>
      <c r="AX122" s="16">
        <v>1</v>
      </c>
    </row>
    <row r="123" spans="1:50" s="17" customFormat="1" ht="15.75" customHeight="1">
      <c r="A123" s="14">
        <v>897</v>
      </c>
      <c r="B123" s="15" t="s">
        <v>75</v>
      </c>
      <c r="C123" s="27"/>
      <c r="D123" s="15" t="s">
        <v>1376</v>
      </c>
      <c r="E123" s="15"/>
      <c r="F123" s="16" t="s">
        <v>2219</v>
      </c>
      <c r="G123" s="16" t="s">
        <v>2220</v>
      </c>
      <c r="H123" s="16" t="s">
        <v>2221</v>
      </c>
      <c r="I123" s="16" t="s">
        <v>2222</v>
      </c>
      <c r="J123" s="16">
        <v>2015</v>
      </c>
      <c r="K123" s="16" t="s">
        <v>1522</v>
      </c>
      <c r="L123" s="16" t="s">
        <v>2223</v>
      </c>
      <c r="M123" s="16" t="s">
        <v>2224</v>
      </c>
      <c r="N123" s="16" t="s">
        <v>2225</v>
      </c>
      <c r="R123" s="16">
        <v>0</v>
      </c>
      <c r="S123" s="16" t="s">
        <v>2226</v>
      </c>
      <c r="T123" s="16" t="s">
        <v>2227</v>
      </c>
      <c r="U123" s="16" t="s">
        <v>2228</v>
      </c>
      <c r="V123" s="16" t="s">
        <v>2229</v>
      </c>
      <c r="W123" s="16" t="s">
        <v>2230</v>
      </c>
      <c r="X123" s="16" t="s">
        <v>2231</v>
      </c>
      <c r="Y123" s="16" t="s">
        <v>2232</v>
      </c>
      <c r="AB123" s="16" t="s">
        <v>137</v>
      </c>
      <c r="AC123" s="16" t="s">
        <v>1532</v>
      </c>
      <c r="AD123" s="16" t="s">
        <v>2233</v>
      </c>
      <c r="AE123" s="16" t="s">
        <v>1534</v>
      </c>
      <c r="AG123" s="16" t="s">
        <v>95</v>
      </c>
      <c r="AH123" s="16" t="s">
        <v>1535</v>
      </c>
      <c r="AI123" s="16" t="s">
        <v>253</v>
      </c>
      <c r="AJ123" s="16" t="s">
        <v>71</v>
      </c>
      <c r="AL123" s="16" t="s">
        <v>72</v>
      </c>
      <c r="AM123" s="16" t="s">
        <v>2234</v>
      </c>
      <c r="AN123" s="16">
        <v>1</v>
      </c>
      <c r="AO123" s="16" t="s">
        <v>2235</v>
      </c>
      <c r="AS123" s="16">
        <v>0</v>
      </c>
      <c r="AT123" s="16">
        <v>0</v>
      </c>
      <c r="AU123" s="16">
        <v>0</v>
      </c>
      <c r="AV123" s="16">
        <v>0</v>
      </c>
      <c r="AW123" s="16">
        <v>1</v>
      </c>
      <c r="AX123" s="16">
        <v>0</v>
      </c>
    </row>
    <row r="124" spans="1:50" s="17" customFormat="1" ht="15.75" customHeight="1">
      <c r="A124" s="14">
        <v>899</v>
      </c>
      <c r="B124" s="15" t="s">
        <v>75</v>
      </c>
      <c r="C124" s="27"/>
      <c r="D124" s="15" t="s">
        <v>2236</v>
      </c>
      <c r="E124" s="15"/>
      <c r="F124" s="16" t="s">
        <v>2237</v>
      </c>
      <c r="G124" s="16" t="s">
        <v>2238</v>
      </c>
      <c r="H124" s="16" t="s">
        <v>2239</v>
      </c>
      <c r="I124" s="16" t="s">
        <v>2240</v>
      </c>
      <c r="J124" s="16">
        <v>2015</v>
      </c>
      <c r="K124" s="16" t="s">
        <v>2241</v>
      </c>
      <c r="N124" s="16" t="s">
        <v>2242</v>
      </c>
      <c r="O124" s="16">
        <v>344</v>
      </c>
      <c r="P124" s="16">
        <v>349</v>
      </c>
      <c r="Q124" s="16">
        <v>5</v>
      </c>
      <c r="R124" s="16">
        <v>4</v>
      </c>
      <c r="S124" s="16" t="s">
        <v>2243</v>
      </c>
      <c r="T124" s="16" t="s">
        <v>2244</v>
      </c>
      <c r="U124" s="16" t="s">
        <v>2245</v>
      </c>
      <c r="V124" s="16" t="s">
        <v>2246</v>
      </c>
      <c r="W124" s="16" t="s">
        <v>2247</v>
      </c>
      <c r="Y124" s="16" t="s">
        <v>2248</v>
      </c>
      <c r="AB124" s="16" t="s">
        <v>137</v>
      </c>
      <c r="AD124" s="16" t="s">
        <v>2249</v>
      </c>
      <c r="AG124" s="16" t="s">
        <v>95</v>
      </c>
      <c r="AH124" s="16" t="s">
        <v>2250</v>
      </c>
      <c r="AI124" s="16" t="s">
        <v>253</v>
      </c>
      <c r="AJ124" s="16" t="s">
        <v>71</v>
      </c>
      <c r="AL124" s="16" t="s">
        <v>72</v>
      </c>
      <c r="AM124" s="16" t="s">
        <v>2251</v>
      </c>
      <c r="AN124" s="16">
        <v>1</v>
      </c>
      <c r="AO124" s="16" t="s">
        <v>2252</v>
      </c>
      <c r="AS124" s="16">
        <v>0</v>
      </c>
      <c r="AT124" s="16">
        <v>0</v>
      </c>
      <c r="AU124" s="16">
        <v>0</v>
      </c>
      <c r="AV124" s="16">
        <v>0</v>
      </c>
      <c r="AW124" s="16">
        <v>0</v>
      </c>
      <c r="AX124" s="16">
        <v>1</v>
      </c>
    </row>
    <row r="125" spans="1:50" s="13" customFormat="1" ht="15.75" customHeight="1">
      <c r="A125" s="10">
        <v>905</v>
      </c>
      <c r="B125" s="11" t="s">
        <v>75</v>
      </c>
      <c r="C125" s="26" t="s">
        <v>361</v>
      </c>
      <c r="D125" s="11"/>
      <c r="E125" s="11" t="s">
        <v>77</v>
      </c>
      <c r="F125" s="12" t="s">
        <v>2253</v>
      </c>
      <c r="G125" s="12" t="s">
        <v>2254</v>
      </c>
      <c r="H125" s="12" t="s">
        <v>2255</v>
      </c>
      <c r="I125" s="12" t="s">
        <v>2256</v>
      </c>
      <c r="J125" s="12">
        <v>2011</v>
      </c>
      <c r="K125" s="12" t="s">
        <v>758</v>
      </c>
      <c r="L125" s="12" t="s">
        <v>2257</v>
      </c>
      <c r="O125" s="12">
        <v>27</v>
      </c>
      <c r="P125" s="12">
        <v>32</v>
      </c>
      <c r="Q125" s="12">
        <v>5</v>
      </c>
      <c r="R125" s="12">
        <v>0</v>
      </c>
      <c r="S125" s="12" t="s">
        <v>2258</v>
      </c>
      <c r="T125" s="12" t="s">
        <v>2259</v>
      </c>
      <c r="U125" s="12" t="s">
        <v>2260</v>
      </c>
      <c r="V125" s="12" t="s">
        <v>2261</v>
      </c>
      <c r="W125" s="12" t="s">
        <v>2262</v>
      </c>
      <c r="X125" s="12" t="s">
        <v>2263</v>
      </c>
      <c r="Y125" s="12" t="s">
        <v>2264</v>
      </c>
      <c r="Z125" s="12" t="s">
        <v>2265</v>
      </c>
      <c r="AC125" s="12" t="s">
        <v>769</v>
      </c>
      <c r="AD125" s="12" t="s">
        <v>2266</v>
      </c>
      <c r="AG125" s="12" t="s">
        <v>95</v>
      </c>
      <c r="AH125" s="12" t="s">
        <v>771</v>
      </c>
      <c r="AI125" s="12" t="s">
        <v>253</v>
      </c>
      <c r="AJ125" s="12" t="s">
        <v>71</v>
      </c>
      <c r="AL125" s="12" t="s">
        <v>72</v>
      </c>
      <c r="AM125" s="12" t="s">
        <v>2267</v>
      </c>
      <c r="AN125" s="12">
        <v>1</v>
      </c>
      <c r="AO125" s="12" t="s">
        <v>2268</v>
      </c>
      <c r="AQ125" s="12">
        <v>1</v>
      </c>
      <c r="AR125" s="12">
        <v>0</v>
      </c>
      <c r="AS125" s="12">
        <v>0</v>
      </c>
      <c r="AT125" s="12">
        <v>0</v>
      </c>
      <c r="AU125" s="12">
        <v>0</v>
      </c>
      <c r="AV125" s="12">
        <v>0</v>
      </c>
    </row>
    <row r="126" spans="1:50" s="17" customFormat="1" ht="15.75" customHeight="1">
      <c r="A126" s="14">
        <v>912</v>
      </c>
      <c r="B126" s="15" t="s">
        <v>75</v>
      </c>
      <c r="C126" s="27"/>
      <c r="D126" s="27" t="s">
        <v>2269</v>
      </c>
      <c r="E126" s="27"/>
      <c r="F126" s="16" t="s">
        <v>2270</v>
      </c>
      <c r="G126" s="16" t="s">
        <v>2271</v>
      </c>
      <c r="H126" s="16" t="s">
        <v>2272</v>
      </c>
      <c r="I126" s="16" t="s">
        <v>2273</v>
      </c>
      <c r="J126" s="16">
        <v>2008</v>
      </c>
      <c r="K126" s="16" t="s">
        <v>2274</v>
      </c>
      <c r="L126" s="16" t="s">
        <v>185</v>
      </c>
      <c r="O126" s="16">
        <v>73</v>
      </c>
      <c r="P126" s="16">
        <v>86</v>
      </c>
      <c r="Q126" s="16">
        <v>13</v>
      </c>
      <c r="R126" s="16">
        <v>63</v>
      </c>
      <c r="S126" s="16" t="s">
        <v>2275</v>
      </c>
      <c r="T126" s="16" t="s">
        <v>2276</v>
      </c>
      <c r="U126" s="16" t="s">
        <v>2277</v>
      </c>
      <c r="V126" s="16" t="s">
        <v>2278</v>
      </c>
      <c r="W126" s="16" t="s">
        <v>2279</v>
      </c>
      <c r="X126" s="16" t="s">
        <v>2280</v>
      </c>
      <c r="Y126" s="16" t="s">
        <v>2281</v>
      </c>
      <c r="Z126" s="16" t="s">
        <v>2282</v>
      </c>
      <c r="AB126" s="16" t="s">
        <v>2283</v>
      </c>
      <c r="AC126" s="16" t="s">
        <v>2284</v>
      </c>
      <c r="AG126" s="16" t="s">
        <v>95</v>
      </c>
      <c r="AH126" s="16" t="s">
        <v>2285</v>
      </c>
      <c r="AI126" s="16" t="s">
        <v>70</v>
      </c>
      <c r="AJ126" s="16" t="s">
        <v>71</v>
      </c>
      <c r="AK126" s="16" t="s">
        <v>1249</v>
      </c>
      <c r="AL126" s="16" t="s">
        <v>72</v>
      </c>
      <c r="AM126" s="16" t="s">
        <v>2286</v>
      </c>
      <c r="AN126" s="16">
        <v>1</v>
      </c>
      <c r="AO126" s="16" t="s">
        <v>2287</v>
      </c>
      <c r="AQ126" s="16">
        <v>1</v>
      </c>
      <c r="AR126" s="16">
        <v>0</v>
      </c>
      <c r="AS126" s="16">
        <v>0</v>
      </c>
      <c r="AT126" s="16">
        <v>0</v>
      </c>
      <c r="AU126" s="16">
        <v>0</v>
      </c>
      <c r="AV126" s="16">
        <v>0</v>
      </c>
    </row>
    <row r="127" spans="1:50" ht="15.75" customHeight="1"/>
    <row r="128" spans="1:50"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pageMargins left="0.75" right="0.75" top="1" bottom="1" header="0" footer="0"/>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8"/>
  <sheetViews>
    <sheetView topLeftCell="A28" workbookViewId="0">
      <selection activeCell="D30" sqref="D30"/>
    </sheetView>
  </sheetViews>
  <sheetFormatPr baseColWidth="10" defaultColWidth="14.5" defaultRowHeight="15" customHeight="1"/>
  <cols>
    <col min="1" max="1" width="8.33203125" style="52" customWidth="1"/>
    <col min="2" max="2" width="16.6640625" style="52" customWidth="1"/>
    <col min="3" max="3" width="21" style="52" bestFit="1" customWidth="1"/>
    <col min="4" max="4" width="79.33203125" style="52" bestFit="1" customWidth="1"/>
    <col min="5" max="5" width="6.33203125" style="52" bestFit="1" customWidth="1"/>
    <col min="6" max="6" width="26.1640625" style="52" bestFit="1" customWidth="1"/>
    <col min="7" max="7" width="4.83203125" style="52" bestFit="1" customWidth="1"/>
    <col min="8" max="8" width="4.33203125" style="52" bestFit="1" customWidth="1"/>
    <col min="9" max="9" width="5" style="52" bestFit="1" customWidth="1"/>
    <col min="10" max="10" width="11.5" style="52" bestFit="1" customWidth="1"/>
    <col min="11" max="11" width="5.5" style="52" bestFit="1" customWidth="1"/>
    <col min="12" max="12" width="5" style="52" bestFit="1" customWidth="1"/>
    <col min="13" max="13" width="5.6640625" style="52" bestFit="1" customWidth="1"/>
    <col min="14" max="14" width="12.1640625" style="52" bestFit="1" customWidth="1"/>
    <col min="15" max="15" width="55" style="52" bestFit="1" customWidth="1"/>
    <col min="16" max="16" width="10" bestFit="1" customWidth="1"/>
    <col min="17" max="18" width="9.83203125" customWidth="1"/>
    <col min="19" max="19" width="13.5" customWidth="1"/>
    <col min="20" max="21" width="9.83203125" customWidth="1"/>
    <col min="22" max="26" width="10.6640625" customWidth="1"/>
  </cols>
  <sheetData>
    <row r="1" spans="1:19">
      <c r="A1" s="53" t="s">
        <v>2288</v>
      </c>
      <c r="B1" s="69" t="s">
        <v>2289</v>
      </c>
      <c r="C1" s="69" t="s">
        <v>2290</v>
      </c>
      <c r="D1" s="69" t="s">
        <v>2291</v>
      </c>
      <c r="E1" s="69" t="s">
        <v>2292</v>
      </c>
      <c r="F1" s="69" t="s">
        <v>2293</v>
      </c>
      <c r="G1" s="69" t="s">
        <v>2294</v>
      </c>
      <c r="H1" s="69" t="s">
        <v>2295</v>
      </c>
      <c r="I1" s="69" t="s">
        <v>2296</v>
      </c>
      <c r="J1" s="69" t="s">
        <v>2297</v>
      </c>
      <c r="K1" s="53" t="s">
        <v>2298</v>
      </c>
      <c r="L1" s="53" t="s">
        <v>2299</v>
      </c>
      <c r="M1" s="53" t="s">
        <v>2300</v>
      </c>
      <c r="N1" s="53" t="s">
        <v>2301</v>
      </c>
      <c r="O1" s="54" t="s">
        <v>2302</v>
      </c>
      <c r="P1" s="3" t="s">
        <v>2303</v>
      </c>
      <c r="Q1" s="3" t="s">
        <v>2304</v>
      </c>
      <c r="R1" s="3" t="s">
        <v>2305</v>
      </c>
      <c r="S1" t="s">
        <v>2306</v>
      </c>
    </row>
    <row r="2" spans="1:19" ht="32">
      <c r="A2" s="66" t="str">
        <f t="shared" ref="A2" si="0">CONCATENATE("T",ROW(A2)-1)</f>
        <v>T1</v>
      </c>
      <c r="B2" s="74" t="s">
        <v>2307</v>
      </c>
      <c r="C2" s="71" t="s">
        <v>2308</v>
      </c>
      <c r="D2" s="71" t="s">
        <v>2309</v>
      </c>
      <c r="E2" s="72" t="s">
        <v>2310</v>
      </c>
      <c r="F2" s="73" t="s">
        <v>2311</v>
      </c>
      <c r="G2" s="72" t="s">
        <v>2312</v>
      </c>
      <c r="H2" s="72" t="s">
        <v>2312</v>
      </c>
      <c r="I2" s="72" t="s">
        <v>2313</v>
      </c>
      <c r="J2" s="78" t="str">
        <f t="shared" ref="J2:J19" si="1">CONCATENATE("[",G2,",",H2,",",I2,"]")</f>
        <v>[p,p,n]</v>
      </c>
      <c r="K2" s="67" t="s">
        <v>2312</v>
      </c>
      <c r="L2" s="52" t="s">
        <v>2314</v>
      </c>
      <c r="M2" s="52" t="s">
        <v>2313</v>
      </c>
      <c r="N2" s="58" t="str">
        <f t="shared" ref="N2:N19" si="2">CONCATENATE("[",K2,",",L2,",",M2,"]")</f>
        <v>[p,f,n]</v>
      </c>
      <c r="O2" s="52" t="s">
        <v>2769</v>
      </c>
      <c r="P2" s="4" t="s">
        <v>2774</v>
      </c>
      <c r="Q2" s="4" t="s">
        <v>2775</v>
      </c>
      <c r="R2" s="4" t="s">
        <v>2776</v>
      </c>
      <c r="S2" s="9" t="s">
        <v>2315</v>
      </c>
    </row>
    <row r="3" spans="1:19" s="17" customFormat="1" ht="84" customHeight="1">
      <c r="A3" s="88" t="str">
        <f t="shared" ref="A3:A50" si="3">CONCATENATE("T",ROW(A3)-1)</f>
        <v>T2</v>
      </c>
      <c r="B3" s="89" t="s">
        <v>2307</v>
      </c>
      <c r="C3" s="90" t="s">
        <v>2316</v>
      </c>
      <c r="D3" s="90" t="s">
        <v>2317</v>
      </c>
      <c r="E3" s="91" t="s">
        <v>2318</v>
      </c>
      <c r="F3" s="92" t="s">
        <v>2311</v>
      </c>
      <c r="G3" s="91" t="s">
        <v>2312</v>
      </c>
      <c r="H3" s="91" t="s">
        <v>2312</v>
      </c>
      <c r="I3" s="91" t="s">
        <v>2313</v>
      </c>
      <c r="J3" s="93" t="str">
        <f t="shared" si="1"/>
        <v>[p,p,n]</v>
      </c>
      <c r="K3" s="94" t="s">
        <v>2312</v>
      </c>
      <c r="L3" s="95" t="s">
        <v>2314</v>
      </c>
      <c r="M3" s="95" t="s">
        <v>2313</v>
      </c>
      <c r="N3" s="96" t="str">
        <f t="shared" si="2"/>
        <v>[p,f,n]</v>
      </c>
      <c r="O3" s="97" t="s">
        <v>2319</v>
      </c>
      <c r="P3"/>
      <c r="Q3"/>
      <c r="R3"/>
    </row>
    <row r="4" spans="1:19" ht="51" customHeight="1">
      <c r="A4" s="66" t="str">
        <f t="shared" si="3"/>
        <v>T3</v>
      </c>
      <c r="B4" s="75" t="s">
        <v>2307</v>
      </c>
      <c r="C4" s="55" t="s">
        <v>2320</v>
      </c>
      <c r="D4" s="55" t="s">
        <v>2321</v>
      </c>
      <c r="E4" s="56" t="s">
        <v>2322</v>
      </c>
      <c r="F4" s="57" t="s">
        <v>2311</v>
      </c>
      <c r="G4" s="56" t="s">
        <v>2312</v>
      </c>
      <c r="H4" s="56" t="s">
        <v>2312</v>
      </c>
      <c r="I4" s="56" t="s">
        <v>2312</v>
      </c>
      <c r="J4" s="79" t="str">
        <f t="shared" si="1"/>
        <v>[p,p,p]</v>
      </c>
      <c r="K4" s="67" t="s">
        <v>2314</v>
      </c>
      <c r="L4" s="52" t="s">
        <v>2314</v>
      </c>
      <c r="M4" s="52" t="s">
        <v>2312</v>
      </c>
      <c r="N4" s="58" t="str">
        <f t="shared" si="2"/>
        <v>[f,f,p]</v>
      </c>
      <c r="O4" s="82" t="s">
        <v>2323</v>
      </c>
      <c r="P4">
        <v>253</v>
      </c>
      <c r="Q4" s="109" t="s">
        <v>2777</v>
      </c>
    </row>
    <row r="5" spans="1:19" ht="32">
      <c r="A5" s="66" t="str">
        <f t="shared" si="3"/>
        <v>T4</v>
      </c>
      <c r="B5" s="75" t="s">
        <v>2307</v>
      </c>
      <c r="C5" s="55" t="s">
        <v>2324</v>
      </c>
      <c r="D5" s="55" t="s">
        <v>2325</v>
      </c>
      <c r="E5" s="56" t="s">
        <v>2326</v>
      </c>
      <c r="F5" s="57" t="s">
        <v>2311</v>
      </c>
      <c r="G5" s="56" t="s">
        <v>2313</v>
      </c>
      <c r="H5" s="56" t="s">
        <v>2313</v>
      </c>
      <c r="I5" s="56" t="s">
        <v>2313</v>
      </c>
      <c r="J5" s="79" t="str">
        <f t="shared" si="1"/>
        <v>[n,n,n]</v>
      </c>
      <c r="K5" s="67" t="s">
        <v>2312</v>
      </c>
      <c r="L5" s="52" t="s">
        <v>2312</v>
      </c>
      <c r="M5" s="52" t="s">
        <v>2313</v>
      </c>
      <c r="N5" s="58" t="str">
        <f t="shared" si="2"/>
        <v>[p,p,n]</v>
      </c>
      <c r="O5" s="83" t="s">
        <v>2327</v>
      </c>
      <c r="P5" s="109" t="s">
        <v>2778</v>
      </c>
      <c r="Q5" s="110" t="s">
        <v>2779</v>
      </c>
      <c r="R5">
        <v>531</v>
      </c>
    </row>
    <row r="6" spans="1:19" ht="30">
      <c r="A6" s="66" t="str">
        <f t="shared" si="3"/>
        <v>T5</v>
      </c>
      <c r="B6" s="75" t="s">
        <v>2307</v>
      </c>
      <c r="C6" s="55" t="s">
        <v>2328</v>
      </c>
      <c r="D6" s="55" t="s">
        <v>2329</v>
      </c>
      <c r="E6" s="55" t="s">
        <v>2330</v>
      </c>
      <c r="F6" s="57" t="s">
        <v>2311</v>
      </c>
      <c r="G6" s="56" t="s">
        <v>2313</v>
      </c>
      <c r="H6" s="56" t="s">
        <v>2313</v>
      </c>
      <c r="I6" s="56" t="s">
        <v>2313</v>
      </c>
      <c r="J6" s="79" t="str">
        <f t="shared" si="1"/>
        <v>[n,n,n]</v>
      </c>
      <c r="K6" s="67" t="s">
        <v>2313</v>
      </c>
      <c r="L6" s="52" t="s">
        <v>2313</v>
      </c>
      <c r="M6" s="52" t="s">
        <v>2312</v>
      </c>
      <c r="N6" s="58" t="str">
        <f t="shared" si="2"/>
        <v>[n,n,p]</v>
      </c>
      <c r="O6" s="82" t="s">
        <v>2331</v>
      </c>
      <c r="P6">
        <v>212</v>
      </c>
    </row>
    <row r="7" spans="1:19" ht="45">
      <c r="A7" s="66" t="str">
        <f t="shared" si="3"/>
        <v>T6</v>
      </c>
      <c r="B7" s="75" t="s">
        <v>2307</v>
      </c>
      <c r="C7" s="55" t="s">
        <v>2332</v>
      </c>
      <c r="D7" s="55" t="s">
        <v>2333</v>
      </c>
      <c r="E7" s="56" t="s">
        <v>2334</v>
      </c>
      <c r="F7" s="57" t="s">
        <v>2335</v>
      </c>
      <c r="G7" s="56" t="s">
        <v>2312</v>
      </c>
      <c r="H7" s="56" t="s">
        <v>2312</v>
      </c>
      <c r="I7" s="56" t="s">
        <v>2313</v>
      </c>
      <c r="J7" s="79" t="str">
        <f t="shared" si="1"/>
        <v>[p,p,n]</v>
      </c>
      <c r="K7" s="67" t="s">
        <v>2312</v>
      </c>
      <c r="L7" s="52" t="s">
        <v>2312</v>
      </c>
      <c r="M7" s="52" t="s">
        <v>2314</v>
      </c>
      <c r="N7" s="58" t="str">
        <f t="shared" si="2"/>
        <v>[p,p,f]</v>
      </c>
      <c r="O7" s="52">
        <v>367</v>
      </c>
      <c r="P7" s="109" t="s">
        <v>2780</v>
      </c>
    </row>
    <row r="8" spans="1:19" s="17" customFormat="1" ht="45">
      <c r="A8" s="88" t="str">
        <f t="shared" si="3"/>
        <v>T7</v>
      </c>
      <c r="B8" s="89" t="s">
        <v>2307</v>
      </c>
      <c r="C8" s="90" t="s">
        <v>2336</v>
      </c>
      <c r="D8" s="90" t="s">
        <v>2337</v>
      </c>
      <c r="E8" s="91" t="s">
        <v>2318</v>
      </c>
      <c r="F8" s="92" t="s">
        <v>2338</v>
      </c>
      <c r="G8" s="91" t="s">
        <v>2313</v>
      </c>
      <c r="H8" s="91" t="s">
        <v>2313</v>
      </c>
      <c r="I8" s="91" t="s">
        <v>2313</v>
      </c>
      <c r="J8" s="93" t="str">
        <f t="shared" si="1"/>
        <v>[n,n,n]</v>
      </c>
      <c r="K8" s="94" t="s">
        <v>2313</v>
      </c>
      <c r="L8" s="95" t="s">
        <v>2312</v>
      </c>
      <c r="M8" s="95" t="s">
        <v>2312</v>
      </c>
      <c r="N8" s="96" t="str">
        <f t="shared" si="2"/>
        <v>[n,p,p]</v>
      </c>
      <c r="O8" s="95">
        <v>367</v>
      </c>
    </row>
    <row r="9" spans="1:19" s="17" customFormat="1" ht="30">
      <c r="A9" s="88" t="str">
        <f t="shared" si="3"/>
        <v>T8</v>
      </c>
      <c r="B9" s="89" t="s">
        <v>2307</v>
      </c>
      <c r="C9" s="91" t="s">
        <v>2339</v>
      </c>
      <c r="D9" s="90" t="s">
        <v>2340</v>
      </c>
      <c r="E9" s="91" t="s">
        <v>2341</v>
      </c>
      <c r="F9" s="92" t="s">
        <v>2335</v>
      </c>
      <c r="G9" s="91" t="s">
        <v>2312</v>
      </c>
      <c r="H9" s="91" t="s">
        <v>2313</v>
      </c>
      <c r="I9" s="91" t="s">
        <v>2313</v>
      </c>
      <c r="J9" s="93" t="str">
        <f t="shared" si="1"/>
        <v>[p,n,n]</v>
      </c>
      <c r="K9" s="94" t="s">
        <v>2312</v>
      </c>
      <c r="L9" s="95" t="s">
        <v>2312</v>
      </c>
      <c r="M9" s="95" t="s">
        <v>2314</v>
      </c>
      <c r="N9" s="96" t="str">
        <f t="shared" si="2"/>
        <v>[p,p,f]</v>
      </c>
      <c r="O9" s="95">
        <v>367</v>
      </c>
    </row>
    <row r="10" spans="1:19" ht="30">
      <c r="A10" s="66" t="str">
        <f t="shared" si="3"/>
        <v>T9</v>
      </c>
      <c r="B10" s="75" t="s">
        <v>2307</v>
      </c>
      <c r="C10" s="55" t="s">
        <v>2342</v>
      </c>
      <c r="D10" s="55" t="s">
        <v>2343</v>
      </c>
      <c r="E10" s="55" t="s">
        <v>2344</v>
      </c>
      <c r="F10" s="57" t="s">
        <v>2345</v>
      </c>
      <c r="G10" s="56" t="s">
        <v>2313</v>
      </c>
      <c r="H10" s="56" t="s">
        <v>2313</v>
      </c>
      <c r="I10" s="56" t="s">
        <v>2313</v>
      </c>
      <c r="J10" s="79" t="str">
        <f t="shared" si="1"/>
        <v>[n,n,n]</v>
      </c>
      <c r="K10" s="67" t="s">
        <v>2312</v>
      </c>
      <c r="L10" s="52" t="s">
        <v>2312</v>
      </c>
      <c r="M10" s="52" t="s">
        <v>2313</v>
      </c>
      <c r="N10" s="58" t="str">
        <f t="shared" si="2"/>
        <v>[p,p,n]</v>
      </c>
      <c r="O10" s="98" t="s">
        <v>2770</v>
      </c>
      <c r="P10" s="112" t="s">
        <v>2778</v>
      </c>
      <c r="Q10" s="112" t="s">
        <v>2779</v>
      </c>
      <c r="R10" s="112">
        <v>531</v>
      </c>
    </row>
    <row r="11" spans="1:19" ht="30">
      <c r="A11" s="66" t="str">
        <f t="shared" si="3"/>
        <v>T10</v>
      </c>
      <c r="B11" s="75" t="s">
        <v>2307</v>
      </c>
      <c r="C11" s="55" t="s">
        <v>2346</v>
      </c>
      <c r="D11" s="55" t="s">
        <v>2347</v>
      </c>
      <c r="E11" s="56" t="s">
        <v>2322</v>
      </c>
      <c r="F11" s="57" t="s">
        <v>2335</v>
      </c>
      <c r="G11" s="56" t="s">
        <v>2313</v>
      </c>
      <c r="H11" s="56" t="s">
        <v>2313</v>
      </c>
      <c r="I11" s="56" t="s">
        <v>2313</v>
      </c>
      <c r="J11" s="79" t="str">
        <f t="shared" si="1"/>
        <v>[n,n,n]</v>
      </c>
      <c r="K11" s="67" t="s">
        <v>2312</v>
      </c>
      <c r="L11" s="52" t="s">
        <v>2312</v>
      </c>
      <c r="M11" s="52" t="s">
        <v>2313</v>
      </c>
      <c r="N11" s="58" t="str">
        <f t="shared" si="2"/>
        <v>[p,p,n]</v>
      </c>
      <c r="O11" s="52">
        <v>454</v>
      </c>
      <c r="P11" s="112" t="s">
        <v>2781</v>
      </c>
      <c r="Q11" s="112"/>
      <c r="R11" s="112"/>
    </row>
    <row r="12" spans="1:19" ht="30">
      <c r="A12" s="66" t="str">
        <f t="shared" si="3"/>
        <v>T11</v>
      </c>
      <c r="B12" s="75" t="s">
        <v>2307</v>
      </c>
      <c r="C12" s="55" t="s">
        <v>2348</v>
      </c>
      <c r="D12" s="55" t="s">
        <v>2349</v>
      </c>
      <c r="E12" s="56" t="s">
        <v>2350</v>
      </c>
      <c r="F12" s="57" t="s">
        <v>2335</v>
      </c>
      <c r="G12" s="56" t="s">
        <v>2313</v>
      </c>
      <c r="H12" s="56" t="s">
        <v>2313</v>
      </c>
      <c r="I12" s="56" t="s">
        <v>2313</v>
      </c>
      <c r="J12" s="79" t="str">
        <f t="shared" si="1"/>
        <v>[n,n,n]</v>
      </c>
      <c r="K12" s="67" t="s">
        <v>2314</v>
      </c>
      <c r="L12" s="52" t="s">
        <v>2313</v>
      </c>
      <c r="M12" s="52" t="s">
        <v>2313</v>
      </c>
      <c r="N12" s="58" t="str">
        <f t="shared" si="2"/>
        <v>[f,n,n]</v>
      </c>
      <c r="O12" s="52" t="s">
        <v>2351</v>
      </c>
      <c r="P12" s="112">
        <v>116</v>
      </c>
      <c r="Q12" s="112">
        <v>189</v>
      </c>
      <c r="R12" s="112">
        <v>65</v>
      </c>
    </row>
    <row r="13" spans="1:19" ht="45">
      <c r="A13" s="66" t="str">
        <f t="shared" si="3"/>
        <v>T12</v>
      </c>
      <c r="B13" s="75" t="s">
        <v>2307</v>
      </c>
      <c r="C13" s="55" t="s">
        <v>2352</v>
      </c>
      <c r="D13" s="55" t="s">
        <v>2353</v>
      </c>
      <c r="E13" s="56" t="s">
        <v>2354</v>
      </c>
      <c r="F13" s="57" t="s">
        <v>2355</v>
      </c>
      <c r="G13" s="56" t="s">
        <v>2313</v>
      </c>
      <c r="H13" s="56" t="s">
        <v>2313</v>
      </c>
      <c r="I13" s="56" t="s">
        <v>2313</v>
      </c>
      <c r="J13" s="79" t="str">
        <f t="shared" si="1"/>
        <v>[n,n,n]</v>
      </c>
      <c r="K13" s="67" t="s">
        <v>2313</v>
      </c>
      <c r="L13" s="52" t="s">
        <v>2314</v>
      </c>
      <c r="M13" s="52" t="s">
        <v>2313</v>
      </c>
      <c r="N13" s="58" t="str">
        <f t="shared" si="2"/>
        <v>[n,f,n]</v>
      </c>
      <c r="O13" s="82" t="s">
        <v>2356</v>
      </c>
      <c r="P13" s="112" t="s">
        <v>2778</v>
      </c>
      <c r="Q13" s="112" t="s">
        <v>2779</v>
      </c>
      <c r="R13" s="112">
        <v>531</v>
      </c>
    </row>
    <row r="14" spans="1:19" ht="45">
      <c r="A14" s="66" t="str">
        <f t="shared" si="3"/>
        <v>T13</v>
      </c>
      <c r="B14" s="75" t="s">
        <v>2307</v>
      </c>
      <c r="C14" s="55" t="s">
        <v>2357</v>
      </c>
      <c r="D14" s="55" t="s">
        <v>2358</v>
      </c>
      <c r="E14" s="55" t="s">
        <v>2359</v>
      </c>
      <c r="F14" s="57" t="s">
        <v>2311</v>
      </c>
      <c r="G14" s="56" t="s">
        <v>2313</v>
      </c>
      <c r="H14" s="56" t="s">
        <v>2313</v>
      </c>
      <c r="I14" s="56" t="s">
        <v>2313</v>
      </c>
      <c r="J14" s="79" t="str">
        <f t="shared" si="1"/>
        <v>[n,n,n]</v>
      </c>
      <c r="K14" s="67" t="s">
        <v>2312</v>
      </c>
      <c r="L14" s="52" t="s">
        <v>2312</v>
      </c>
      <c r="M14" s="52" t="s">
        <v>2313</v>
      </c>
      <c r="N14" s="58" t="str">
        <f t="shared" si="2"/>
        <v>[p,p,n]</v>
      </c>
      <c r="O14" s="82" t="s">
        <v>2360</v>
      </c>
      <c r="P14" s="112">
        <v>122</v>
      </c>
      <c r="Q14" s="112" t="s">
        <v>2782</v>
      </c>
      <c r="R14" s="112">
        <v>263</v>
      </c>
    </row>
    <row r="15" spans="1:19" ht="30">
      <c r="A15" s="66" t="str">
        <f t="shared" si="3"/>
        <v>T14</v>
      </c>
      <c r="B15" s="75" t="s">
        <v>2307</v>
      </c>
      <c r="C15" s="56" t="s">
        <v>2361</v>
      </c>
      <c r="D15" s="55" t="s">
        <v>2362</v>
      </c>
      <c r="E15" s="56" t="s">
        <v>2330</v>
      </c>
      <c r="F15" s="57" t="s">
        <v>2311</v>
      </c>
      <c r="G15" s="56" t="s">
        <v>2313</v>
      </c>
      <c r="H15" s="56" t="s">
        <v>2313</v>
      </c>
      <c r="I15" s="56" t="s">
        <v>2313</v>
      </c>
      <c r="J15" s="79" t="str">
        <f t="shared" si="1"/>
        <v>[n,n,n]</v>
      </c>
      <c r="K15" s="67" t="s">
        <v>2313</v>
      </c>
      <c r="L15" s="52" t="s">
        <v>2313</v>
      </c>
      <c r="M15" s="52" t="s">
        <v>2312</v>
      </c>
      <c r="N15" s="58" t="str">
        <f t="shared" si="2"/>
        <v>[n,n,p]</v>
      </c>
      <c r="O15" s="82" t="s">
        <v>2363</v>
      </c>
      <c r="P15" s="112">
        <v>210</v>
      </c>
      <c r="Q15" s="112"/>
      <c r="R15" s="112"/>
    </row>
    <row r="16" spans="1:19" s="17" customFormat="1" ht="30">
      <c r="A16" s="88" t="str">
        <f t="shared" si="3"/>
        <v>T15</v>
      </c>
      <c r="B16" s="89" t="s">
        <v>2307</v>
      </c>
      <c r="C16" s="91" t="s">
        <v>2364</v>
      </c>
      <c r="D16" s="90" t="s">
        <v>2365</v>
      </c>
      <c r="E16" s="91" t="s">
        <v>2354</v>
      </c>
      <c r="F16" s="92" t="s">
        <v>2335</v>
      </c>
      <c r="G16" s="91" t="s">
        <v>2313</v>
      </c>
      <c r="H16" s="91" t="s">
        <v>2313</v>
      </c>
      <c r="I16" s="91" t="s">
        <v>2313</v>
      </c>
      <c r="J16" s="93" t="str">
        <f t="shared" si="1"/>
        <v>[n,n,n]</v>
      </c>
      <c r="K16" s="94" t="s">
        <v>2313</v>
      </c>
      <c r="L16" s="95" t="s">
        <v>2313</v>
      </c>
      <c r="M16" s="95" t="s">
        <v>2312</v>
      </c>
      <c r="N16" s="96" t="str">
        <f t="shared" si="2"/>
        <v>[n,n,p]</v>
      </c>
      <c r="O16" s="97">
        <v>716.26099999999997</v>
      </c>
    </row>
    <row r="17" spans="1:21" ht="45">
      <c r="A17" s="66" t="str">
        <f t="shared" si="3"/>
        <v>T16</v>
      </c>
      <c r="B17" s="75" t="s">
        <v>2307</v>
      </c>
      <c r="C17" s="56" t="s">
        <v>2366</v>
      </c>
      <c r="D17" s="55" t="s">
        <v>2367</v>
      </c>
      <c r="E17" s="56" t="s">
        <v>2368</v>
      </c>
      <c r="F17" s="57" t="s">
        <v>2311</v>
      </c>
      <c r="G17" s="56" t="s">
        <v>2313</v>
      </c>
      <c r="H17" s="56" t="s">
        <v>2313</v>
      </c>
      <c r="I17" s="56" t="s">
        <v>2313</v>
      </c>
      <c r="J17" s="79" t="str">
        <f t="shared" si="1"/>
        <v>[n,n,n]</v>
      </c>
      <c r="K17" s="67" t="s">
        <v>2312</v>
      </c>
      <c r="L17" s="52" t="s">
        <v>2312</v>
      </c>
      <c r="M17" s="52" t="s">
        <v>2312</v>
      </c>
      <c r="N17" s="58" t="str">
        <f t="shared" si="2"/>
        <v>[p,p,p]</v>
      </c>
      <c r="O17" s="82">
        <v>717</v>
      </c>
      <c r="P17">
        <v>210</v>
      </c>
    </row>
    <row r="18" spans="1:21" ht="30">
      <c r="A18" s="66" t="str">
        <f t="shared" si="3"/>
        <v>T17</v>
      </c>
      <c r="B18" s="75" t="s">
        <v>2369</v>
      </c>
      <c r="C18" s="59" t="s">
        <v>2370</v>
      </c>
      <c r="D18" s="55" t="s">
        <v>2371</v>
      </c>
      <c r="E18" s="56" t="s">
        <v>2372</v>
      </c>
      <c r="F18" s="57" t="s">
        <v>2373</v>
      </c>
      <c r="G18" s="56" t="s">
        <v>2312</v>
      </c>
      <c r="H18" s="56" t="s">
        <v>2312</v>
      </c>
      <c r="I18" s="56" t="s">
        <v>2312</v>
      </c>
      <c r="J18" s="79" t="str">
        <f t="shared" si="1"/>
        <v>[p,p,p]</v>
      </c>
      <c r="K18" s="67" t="s">
        <v>2312</v>
      </c>
      <c r="L18" s="52" t="s">
        <v>2312</v>
      </c>
      <c r="M18" s="52" t="s">
        <v>2314</v>
      </c>
      <c r="N18" s="58" t="str">
        <f t="shared" si="2"/>
        <v>[p,p,f]</v>
      </c>
      <c r="O18" s="82" t="s">
        <v>2374</v>
      </c>
      <c r="P18">
        <v>184</v>
      </c>
      <c r="Q18" s="109" t="s">
        <v>2783</v>
      </c>
    </row>
    <row r="19" spans="1:21" ht="30">
      <c r="A19" s="66" t="str">
        <f t="shared" si="3"/>
        <v>T18</v>
      </c>
      <c r="B19" s="75" t="s">
        <v>2369</v>
      </c>
      <c r="C19" s="55" t="s">
        <v>2375</v>
      </c>
      <c r="D19" s="55" t="s">
        <v>2376</v>
      </c>
      <c r="E19" s="56" t="s">
        <v>2377</v>
      </c>
      <c r="F19" s="57" t="s">
        <v>2378</v>
      </c>
      <c r="G19" s="56" t="s">
        <v>2312</v>
      </c>
      <c r="H19" s="56" t="s">
        <v>2312</v>
      </c>
      <c r="I19" s="56" t="s">
        <v>2313</v>
      </c>
      <c r="J19" s="79" t="str">
        <f t="shared" si="1"/>
        <v>[p,p,n]</v>
      </c>
      <c r="K19" s="67" t="s">
        <v>2312</v>
      </c>
      <c r="L19" s="52" t="s">
        <v>2314</v>
      </c>
      <c r="M19" s="52" t="s">
        <v>2312</v>
      </c>
      <c r="N19" s="58" t="str">
        <f t="shared" si="2"/>
        <v>[p,f,p]</v>
      </c>
      <c r="O19" s="82" t="s">
        <v>2379</v>
      </c>
      <c r="P19">
        <v>216</v>
      </c>
      <c r="Q19">
        <v>94</v>
      </c>
    </row>
    <row r="20" spans="1:21" ht="30">
      <c r="A20" s="66" t="str">
        <f t="shared" si="3"/>
        <v>T19</v>
      </c>
      <c r="B20" s="76" t="s">
        <v>2369</v>
      </c>
      <c r="C20" s="59" t="s">
        <v>2380</v>
      </c>
      <c r="D20" s="59" t="s">
        <v>2381</v>
      </c>
      <c r="E20" s="60" t="s">
        <v>2382</v>
      </c>
      <c r="F20" s="61" t="s">
        <v>2335</v>
      </c>
      <c r="G20" s="60" t="s">
        <v>2313</v>
      </c>
      <c r="H20" s="60" t="s">
        <v>2313</v>
      </c>
      <c r="I20" s="60" t="s">
        <v>2313</v>
      </c>
      <c r="J20" s="80"/>
      <c r="K20" s="67" t="s">
        <v>2312</v>
      </c>
      <c r="L20" s="52" t="s">
        <v>2313</v>
      </c>
      <c r="M20" s="52" t="s">
        <v>2312</v>
      </c>
      <c r="N20" s="58"/>
      <c r="O20" s="82" t="s">
        <v>2383</v>
      </c>
      <c r="P20">
        <v>148</v>
      </c>
      <c r="Q20">
        <v>502</v>
      </c>
    </row>
    <row r="21" spans="1:21" ht="45">
      <c r="A21" s="66" t="str">
        <f t="shared" si="3"/>
        <v>T20</v>
      </c>
      <c r="B21" s="75" t="s">
        <v>2369</v>
      </c>
      <c r="C21" s="55" t="s">
        <v>2384</v>
      </c>
      <c r="D21" s="59" t="s">
        <v>2385</v>
      </c>
      <c r="E21" s="60" t="s">
        <v>2386</v>
      </c>
      <c r="F21" s="57" t="s">
        <v>2335</v>
      </c>
      <c r="G21" s="56" t="s">
        <v>2312</v>
      </c>
      <c r="H21" s="56" t="s">
        <v>2312</v>
      </c>
      <c r="I21" s="56" t="s">
        <v>2313</v>
      </c>
      <c r="J21" s="79" t="str">
        <f>CONCATENATE("[",G21,",",H21,",",I21,"]")</f>
        <v>[p,p,n]</v>
      </c>
      <c r="K21" s="68" t="s">
        <v>2314</v>
      </c>
      <c r="L21" s="62" t="s">
        <v>2312</v>
      </c>
      <c r="M21" s="62" t="s">
        <v>2313</v>
      </c>
      <c r="N21" s="58" t="str">
        <f>CONCATENATE("[",K21,",",L21,",",M21,"]")</f>
        <v>[f,p,n]</v>
      </c>
      <c r="O21" s="82" t="s">
        <v>2387</v>
      </c>
      <c r="P21" s="111" t="s">
        <v>2784</v>
      </c>
      <c r="R21" s="109"/>
      <c r="S21" s="1"/>
      <c r="T21" s="1"/>
      <c r="U21" s="1"/>
    </row>
    <row r="22" spans="1:21" ht="30">
      <c r="A22" s="66" t="str">
        <f t="shared" si="3"/>
        <v>T21</v>
      </c>
      <c r="B22" s="75" t="s">
        <v>2369</v>
      </c>
      <c r="C22" s="55" t="s">
        <v>2388</v>
      </c>
      <c r="D22" s="55" t="s">
        <v>2389</v>
      </c>
      <c r="E22" s="56" t="s">
        <v>2390</v>
      </c>
      <c r="F22" s="57" t="s">
        <v>2335</v>
      </c>
      <c r="G22" s="56" t="s">
        <v>2313</v>
      </c>
      <c r="H22" s="56" t="s">
        <v>2313</v>
      </c>
      <c r="I22" s="56" t="s">
        <v>2313</v>
      </c>
      <c r="J22" s="79" t="str">
        <f>CONCATENATE("[",G22,",",H22,",",I22,"]")</f>
        <v>[n,n,n]</v>
      </c>
      <c r="K22" s="68" t="s">
        <v>2312</v>
      </c>
      <c r="L22" s="62" t="s">
        <v>2313</v>
      </c>
      <c r="M22" s="62" t="s">
        <v>2312</v>
      </c>
      <c r="N22" s="58" t="str">
        <f>CONCATENATE("[",K22,",",L22,",",M22,"]")</f>
        <v>[p,n,p]</v>
      </c>
      <c r="O22" s="52">
        <v>571.24</v>
      </c>
      <c r="P22" s="110">
        <v>122</v>
      </c>
      <c r="Q22" s="109" t="s">
        <v>2785</v>
      </c>
      <c r="R22" s="109"/>
      <c r="S22" s="1"/>
      <c r="T22" s="1"/>
      <c r="U22" s="1"/>
    </row>
    <row r="23" spans="1:21" ht="36.75" customHeight="1">
      <c r="A23" s="66" t="str">
        <f t="shared" si="3"/>
        <v>T22</v>
      </c>
      <c r="B23" s="75" t="s">
        <v>2369</v>
      </c>
      <c r="C23" s="55" t="s">
        <v>2391</v>
      </c>
      <c r="D23" s="55" t="s">
        <v>2392</v>
      </c>
      <c r="E23" s="56" t="s">
        <v>2359</v>
      </c>
      <c r="F23" s="57" t="s">
        <v>2373</v>
      </c>
      <c r="G23" s="56" t="s">
        <v>2313</v>
      </c>
      <c r="H23" s="56" t="s">
        <v>2313</v>
      </c>
      <c r="I23" s="56" t="s">
        <v>2313</v>
      </c>
      <c r="J23" s="79" t="str">
        <f>CONCATENATE("[",G23,",",H23,",",I23,"]")</f>
        <v>[n,n,n]</v>
      </c>
      <c r="K23" s="68" t="s">
        <v>2312</v>
      </c>
      <c r="L23" s="62" t="s">
        <v>2313</v>
      </c>
      <c r="M23" s="62" t="s">
        <v>2313</v>
      </c>
      <c r="N23" s="58" t="str">
        <f>CONCATENATE("[",K23,",",L23,",",M23,"]")</f>
        <v>[p,n,n]</v>
      </c>
      <c r="O23" s="52" t="s">
        <v>2393</v>
      </c>
      <c r="P23" s="110">
        <v>122</v>
      </c>
      <c r="Q23" s="109" t="s">
        <v>2785</v>
      </c>
      <c r="R23" s="109"/>
      <c r="S23" s="1"/>
      <c r="T23" s="1"/>
      <c r="U23" s="1"/>
    </row>
    <row r="24" spans="1:21" ht="36.75" customHeight="1">
      <c r="A24" s="66" t="str">
        <f t="shared" si="3"/>
        <v>T23</v>
      </c>
      <c r="B24" s="75" t="s">
        <v>2369</v>
      </c>
      <c r="C24" s="55" t="s">
        <v>2394</v>
      </c>
      <c r="D24" s="55" t="s">
        <v>2395</v>
      </c>
      <c r="E24" s="56" t="s">
        <v>2354</v>
      </c>
      <c r="F24" s="57" t="s">
        <v>2373</v>
      </c>
      <c r="G24" s="56" t="s">
        <v>2313</v>
      </c>
      <c r="H24" s="56" t="s">
        <v>2313</v>
      </c>
      <c r="I24" s="56" t="s">
        <v>2313</v>
      </c>
      <c r="J24" s="79"/>
      <c r="K24" s="68" t="s">
        <v>2312</v>
      </c>
      <c r="L24" s="62" t="s">
        <v>2312</v>
      </c>
      <c r="M24" s="62" t="s">
        <v>2312</v>
      </c>
      <c r="N24" s="58"/>
      <c r="O24" s="82" t="s">
        <v>2396</v>
      </c>
      <c r="P24" s="110">
        <v>242</v>
      </c>
      <c r="R24" s="109"/>
      <c r="S24" s="1"/>
      <c r="T24" s="1"/>
      <c r="U24" s="1"/>
    </row>
    <row r="25" spans="1:21" ht="30">
      <c r="A25" s="66" t="str">
        <f t="shared" si="3"/>
        <v>T24</v>
      </c>
      <c r="B25" s="75" t="s">
        <v>2397</v>
      </c>
      <c r="C25" s="55" t="s">
        <v>2398</v>
      </c>
      <c r="D25" s="55" t="s">
        <v>2399</v>
      </c>
      <c r="E25" s="56" t="s">
        <v>2310</v>
      </c>
      <c r="F25" s="57" t="s">
        <v>2400</v>
      </c>
      <c r="G25" s="56" t="s">
        <v>2312</v>
      </c>
      <c r="H25" s="56" t="s">
        <v>2312</v>
      </c>
      <c r="I25" s="56" t="s">
        <v>2313</v>
      </c>
      <c r="J25" s="79" t="str">
        <f t="shared" ref="J25:J50" si="4">CONCATENATE("[",G25,",",H25,",",I25,"]")</f>
        <v>[p,p,n]</v>
      </c>
      <c r="K25" s="67" t="s">
        <v>2312</v>
      </c>
      <c r="L25" s="52" t="s">
        <v>2314</v>
      </c>
      <c r="M25" s="52" t="s">
        <v>2313</v>
      </c>
      <c r="N25" s="58" t="str">
        <f t="shared" ref="N25:N50" si="5">CONCATENATE("[",K25,",",L25,",",M25,"]")</f>
        <v>[p,f,n]</v>
      </c>
      <c r="O25" s="52" t="s">
        <v>2401</v>
      </c>
      <c r="P25" s="110">
        <v>441</v>
      </c>
      <c r="Q25" s="109" t="s">
        <v>2786</v>
      </c>
      <c r="R25" s="109"/>
      <c r="S25" s="1"/>
      <c r="T25" s="1"/>
      <c r="U25" s="1"/>
    </row>
    <row r="26" spans="1:21" s="17" customFormat="1" ht="30">
      <c r="A26" s="88" t="str">
        <f t="shared" si="3"/>
        <v>T25</v>
      </c>
      <c r="B26" s="89" t="s">
        <v>2397</v>
      </c>
      <c r="C26" s="90" t="s">
        <v>2402</v>
      </c>
      <c r="D26" s="90" t="s">
        <v>2403</v>
      </c>
      <c r="E26" s="91" t="s">
        <v>2359</v>
      </c>
      <c r="F26" s="92" t="s">
        <v>2335</v>
      </c>
      <c r="G26" s="91" t="s">
        <v>2313</v>
      </c>
      <c r="H26" s="91" t="s">
        <v>2313</v>
      </c>
      <c r="I26" s="91" t="s">
        <v>2313</v>
      </c>
      <c r="J26" s="93" t="str">
        <f t="shared" si="4"/>
        <v>[n,n,n]</v>
      </c>
      <c r="K26" s="99" t="s">
        <v>2313</v>
      </c>
      <c r="L26" s="100" t="s">
        <v>2312</v>
      </c>
      <c r="M26" s="100" t="s">
        <v>2312</v>
      </c>
      <c r="N26" s="96" t="str">
        <f t="shared" si="5"/>
        <v>[n,p,p]</v>
      </c>
      <c r="O26" s="95"/>
      <c r="R26" s="16"/>
      <c r="S26" s="16"/>
      <c r="T26" s="16"/>
      <c r="U26" s="16"/>
    </row>
    <row r="27" spans="1:21" ht="45">
      <c r="A27" s="66" t="str">
        <f t="shared" si="3"/>
        <v>T26</v>
      </c>
      <c r="B27" s="75" t="s">
        <v>2404</v>
      </c>
      <c r="C27" s="55" t="s">
        <v>2391</v>
      </c>
      <c r="D27" s="55" t="s">
        <v>2405</v>
      </c>
      <c r="E27" s="56" t="s">
        <v>2406</v>
      </c>
      <c r="F27" s="57" t="s">
        <v>2400</v>
      </c>
      <c r="G27" s="56" t="s">
        <v>2313</v>
      </c>
      <c r="H27" s="56" t="s">
        <v>2313</v>
      </c>
      <c r="I27" s="56" t="s">
        <v>2313</v>
      </c>
      <c r="J27" s="79" t="str">
        <f t="shared" si="4"/>
        <v>[n,n,n]</v>
      </c>
      <c r="K27" s="68" t="s">
        <v>2312</v>
      </c>
      <c r="L27" s="62" t="s">
        <v>2313</v>
      </c>
      <c r="M27" s="62" t="s">
        <v>2313</v>
      </c>
      <c r="N27" s="58" t="str">
        <f t="shared" si="5"/>
        <v>[p,n,n]</v>
      </c>
      <c r="O27" s="84" t="s">
        <v>2407</v>
      </c>
      <c r="P27" s="110">
        <v>115</v>
      </c>
      <c r="R27" s="109"/>
      <c r="S27" s="1"/>
      <c r="T27" s="1"/>
      <c r="U27" s="1"/>
    </row>
    <row r="28" spans="1:21" ht="45">
      <c r="A28" s="66" t="str">
        <f t="shared" si="3"/>
        <v>T27</v>
      </c>
      <c r="B28" s="75" t="s">
        <v>2404</v>
      </c>
      <c r="C28" s="55" t="s">
        <v>2408</v>
      </c>
      <c r="D28" s="55" t="s">
        <v>2409</v>
      </c>
      <c r="E28" s="55" t="s">
        <v>2344</v>
      </c>
      <c r="F28" s="57" t="s">
        <v>2335</v>
      </c>
      <c r="G28" s="56" t="s">
        <v>2313</v>
      </c>
      <c r="H28" s="56" t="s">
        <v>2313</v>
      </c>
      <c r="I28" s="56" t="s">
        <v>2313</v>
      </c>
      <c r="J28" s="79" t="str">
        <f t="shared" si="4"/>
        <v>[n,n,n]</v>
      </c>
      <c r="K28" s="68" t="s">
        <v>2313</v>
      </c>
      <c r="L28" s="62" t="s">
        <v>2312</v>
      </c>
      <c r="M28" s="62" t="s">
        <v>2313</v>
      </c>
      <c r="N28" s="58" t="str">
        <f t="shared" si="5"/>
        <v>[n,p,n]</v>
      </c>
      <c r="O28" s="82" t="s">
        <v>2410</v>
      </c>
      <c r="P28">
        <v>94</v>
      </c>
      <c r="R28" s="109"/>
      <c r="S28" s="1"/>
      <c r="T28" s="1"/>
      <c r="U28" s="1"/>
    </row>
    <row r="29" spans="1:21" ht="30">
      <c r="A29" s="66" t="str">
        <f t="shared" si="3"/>
        <v>T28</v>
      </c>
      <c r="B29" s="75" t="s">
        <v>2404</v>
      </c>
      <c r="C29" s="55" t="s">
        <v>2411</v>
      </c>
      <c r="D29" s="55" t="s">
        <v>2412</v>
      </c>
      <c r="E29" s="55" t="s">
        <v>2350</v>
      </c>
      <c r="F29" s="57" t="s">
        <v>2335</v>
      </c>
      <c r="G29" s="56" t="s">
        <v>2313</v>
      </c>
      <c r="H29" s="56" t="s">
        <v>2313</v>
      </c>
      <c r="I29" s="56" t="s">
        <v>2313</v>
      </c>
      <c r="J29" s="79" t="str">
        <f t="shared" si="4"/>
        <v>[n,n,n]</v>
      </c>
      <c r="K29" s="68" t="s">
        <v>2312</v>
      </c>
      <c r="L29" s="62" t="s">
        <v>2313</v>
      </c>
      <c r="M29" s="62" t="s">
        <v>2313</v>
      </c>
      <c r="N29" s="58" t="str">
        <f t="shared" si="5"/>
        <v>[p,n,n]</v>
      </c>
      <c r="O29" s="52" t="s">
        <v>2413</v>
      </c>
      <c r="P29">
        <v>410</v>
      </c>
      <c r="R29" s="109"/>
      <c r="S29" s="1"/>
      <c r="T29" s="1"/>
      <c r="U29" s="1"/>
    </row>
    <row r="30" spans="1:21" ht="29">
      <c r="A30" s="66" t="str">
        <f t="shared" si="3"/>
        <v>T29</v>
      </c>
      <c r="B30" s="75" t="s">
        <v>2404</v>
      </c>
      <c r="C30" s="63" t="s">
        <v>2414</v>
      </c>
      <c r="D30" s="50" t="s">
        <v>2415</v>
      </c>
      <c r="E30" s="50" t="s">
        <v>2350</v>
      </c>
      <c r="F30" s="57" t="s">
        <v>2400</v>
      </c>
      <c r="G30" s="56" t="s">
        <v>2313</v>
      </c>
      <c r="H30" s="56" t="s">
        <v>2313</v>
      </c>
      <c r="I30" s="56" t="s">
        <v>2313</v>
      </c>
      <c r="J30" s="79" t="str">
        <f t="shared" si="4"/>
        <v>[n,n,n]</v>
      </c>
      <c r="K30" s="68" t="s">
        <v>2312</v>
      </c>
      <c r="L30" s="62" t="s">
        <v>2313</v>
      </c>
      <c r="M30" s="62" t="s">
        <v>2313</v>
      </c>
      <c r="N30" s="58" t="str">
        <f t="shared" si="5"/>
        <v>[p,n,n]</v>
      </c>
      <c r="O30" s="52">
        <v>483</v>
      </c>
      <c r="P30">
        <v>224</v>
      </c>
      <c r="Q30" s="109" t="s">
        <v>2787</v>
      </c>
      <c r="R30" s="109"/>
      <c r="S30" s="1"/>
      <c r="T30" s="1"/>
      <c r="U30" s="1"/>
    </row>
    <row r="31" spans="1:21" ht="45">
      <c r="A31" s="66" t="str">
        <f t="shared" si="3"/>
        <v>T30</v>
      </c>
      <c r="B31" s="75" t="s">
        <v>2404</v>
      </c>
      <c r="C31" s="55" t="s">
        <v>2416</v>
      </c>
      <c r="D31" s="55" t="s">
        <v>2417</v>
      </c>
      <c r="E31" s="55" t="s">
        <v>2418</v>
      </c>
      <c r="F31" s="57" t="s">
        <v>2335</v>
      </c>
      <c r="G31" s="56" t="s">
        <v>2313</v>
      </c>
      <c r="H31" s="56" t="s">
        <v>2313</v>
      </c>
      <c r="I31" s="56" t="s">
        <v>2313</v>
      </c>
      <c r="J31" s="79" t="str">
        <f t="shared" si="4"/>
        <v>[n,n,n]</v>
      </c>
      <c r="K31" s="68" t="s">
        <v>2312</v>
      </c>
      <c r="L31" s="62" t="s">
        <v>2312</v>
      </c>
      <c r="M31" s="62" t="s">
        <v>2313</v>
      </c>
      <c r="N31" s="58" t="str">
        <f t="shared" si="5"/>
        <v>[p,p,n]</v>
      </c>
      <c r="O31" s="52" t="s">
        <v>2419</v>
      </c>
      <c r="P31">
        <v>148</v>
      </c>
      <c r="Q31">
        <v>502</v>
      </c>
      <c r="R31" s="109"/>
      <c r="S31" s="1"/>
      <c r="T31" s="1"/>
      <c r="U31" s="1"/>
    </row>
    <row r="32" spans="1:21" ht="45">
      <c r="A32" s="66" t="str">
        <f t="shared" si="3"/>
        <v>T31</v>
      </c>
      <c r="B32" s="75" t="s">
        <v>2404</v>
      </c>
      <c r="C32" s="55" t="s">
        <v>2420</v>
      </c>
      <c r="D32" s="55" t="s">
        <v>2358</v>
      </c>
      <c r="E32" s="55" t="s">
        <v>2359</v>
      </c>
      <c r="F32" s="57" t="s">
        <v>2400</v>
      </c>
      <c r="G32" s="56" t="s">
        <v>2313</v>
      </c>
      <c r="H32" s="56" t="s">
        <v>2313</v>
      </c>
      <c r="I32" s="56" t="s">
        <v>2313</v>
      </c>
      <c r="J32" s="79" t="str">
        <f t="shared" si="4"/>
        <v>[n,n,n]</v>
      </c>
      <c r="K32" s="68" t="s">
        <v>2312</v>
      </c>
      <c r="L32" s="62" t="s">
        <v>2312</v>
      </c>
      <c r="M32" s="62" t="s">
        <v>2313</v>
      </c>
      <c r="N32" s="58" t="str">
        <f t="shared" si="5"/>
        <v>[p,p,n]</v>
      </c>
      <c r="O32" s="82" t="s">
        <v>2421</v>
      </c>
      <c r="P32">
        <v>13</v>
      </c>
      <c r="Q32">
        <v>77</v>
      </c>
      <c r="R32" s="109"/>
      <c r="S32" s="1"/>
      <c r="T32" s="1"/>
      <c r="U32" s="1"/>
    </row>
    <row r="33" spans="1:21" ht="48">
      <c r="A33" s="66" t="str">
        <f t="shared" si="3"/>
        <v>T32</v>
      </c>
      <c r="B33" s="75" t="s">
        <v>2422</v>
      </c>
      <c r="C33" s="55" t="s">
        <v>2408</v>
      </c>
      <c r="D33" s="48" t="s">
        <v>2423</v>
      </c>
      <c r="E33" s="52" t="s">
        <v>2354</v>
      </c>
      <c r="F33" s="57" t="s">
        <v>2335</v>
      </c>
      <c r="G33" s="56" t="s">
        <v>2313</v>
      </c>
      <c r="H33" s="56" t="s">
        <v>2313</v>
      </c>
      <c r="I33" s="56" t="s">
        <v>2313</v>
      </c>
      <c r="J33" s="79" t="str">
        <f t="shared" si="4"/>
        <v>[n,n,n]</v>
      </c>
      <c r="K33" s="68" t="s">
        <v>2313</v>
      </c>
      <c r="L33" s="62" t="s">
        <v>2312</v>
      </c>
      <c r="M33" s="62" t="s">
        <v>2313</v>
      </c>
      <c r="N33" s="58" t="str">
        <f t="shared" si="5"/>
        <v>[n,p,n]</v>
      </c>
      <c r="O33" s="52">
        <v>13</v>
      </c>
      <c r="P33">
        <v>94</v>
      </c>
      <c r="Q33">
        <v>594</v>
      </c>
      <c r="R33" s="109"/>
      <c r="S33" s="1"/>
      <c r="T33" s="1"/>
      <c r="U33" s="1"/>
    </row>
    <row r="34" spans="1:21" ht="29">
      <c r="A34" s="66" t="str">
        <f t="shared" si="3"/>
        <v>T33</v>
      </c>
      <c r="B34" s="75" t="s">
        <v>2422</v>
      </c>
      <c r="C34" s="63" t="s">
        <v>2424</v>
      </c>
      <c r="D34" s="50" t="s">
        <v>2425</v>
      </c>
      <c r="E34" s="50" t="s">
        <v>2334</v>
      </c>
      <c r="F34" s="57" t="s">
        <v>2335</v>
      </c>
      <c r="G34" s="56" t="s">
        <v>2313</v>
      </c>
      <c r="H34" s="56" t="s">
        <v>2313</v>
      </c>
      <c r="I34" s="56" t="s">
        <v>2312</v>
      </c>
      <c r="J34" s="79" t="str">
        <f t="shared" si="4"/>
        <v>[n,n,p]</v>
      </c>
      <c r="K34" s="68" t="s">
        <v>2313</v>
      </c>
      <c r="L34" s="62" t="s">
        <v>2313</v>
      </c>
      <c r="M34" s="62" t="s">
        <v>2314</v>
      </c>
      <c r="N34" s="58" t="str">
        <f t="shared" si="5"/>
        <v>[n,n,f]</v>
      </c>
      <c r="O34" s="52">
        <v>466</v>
      </c>
      <c r="R34" s="1"/>
      <c r="S34" s="1"/>
      <c r="T34" s="1"/>
      <c r="U34" s="1"/>
    </row>
    <row r="35" spans="1:21" s="17" customFormat="1" ht="32">
      <c r="A35" s="88" t="str">
        <f t="shared" si="3"/>
        <v>T34</v>
      </c>
      <c r="B35" s="89" t="s">
        <v>2422</v>
      </c>
      <c r="C35" s="90" t="s">
        <v>2426</v>
      </c>
      <c r="D35" s="101" t="s">
        <v>2427</v>
      </c>
      <c r="E35" s="95" t="s">
        <v>2322</v>
      </c>
      <c r="F35" s="92" t="s">
        <v>2335</v>
      </c>
      <c r="G35" s="91" t="s">
        <v>2313</v>
      </c>
      <c r="H35" s="91" t="s">
        <v>2313</v>
      </c>
      <c r="I35" s="91" t="s">
        <v>2313</v>
      </c>
      <c r="J35" s="93" t="str">
        <f t="shared" si="4"/>
        <v>[n,n,n]</v>
      </c>
      <c r="K35" s="99" t="s">
        <v>2312</v>
      </c>
      <c r="L35" s="100" t="s">
        <v>2312</v>
      </c>
      <c r="M35" s="100" t="s">
        <v>2313</v>
      </c>
      <c r="N35" s="96" t="str">
        <f t="shared" si="5"/>
        <v>[p,p,n]</v>
      </c>
      <c r="O35" s="95" t="s">
        <v>2428</v>
      </c>
      <c r="R35" s="16"/>
      <c r="S35" s="16"/>
      <c r="T35" s="16"/>
      <c r="U35" s="16"/>
    </row>
    <row r="36" spans="1:21" ht="45">
      <c r="A36" s="66" t="str">
        <f t="shared" si="3"/>
        <v>T35</v>
      </c>
      <c r="B36" s="75" t="s">
        <v>2422</v>
      </c>
      <c r="C36" s="55" t="s">
        <v>2429</v>
      </c>
      <c r="D36" s="55" t="s">
        <v>2430</v>
      </c>
      <c r="E36" s="52" t="s">
        <v>2322</v>
      </c>
      <c r="F36" s="57" t="s">
        <v>2335</v>
      </c>
      <c r="G36" s="56" t="s">
        <v>2313</v>
      </c>
      <c r="H36" s="56" t="s">
        <v>2313</v>
      </c>
      <c r="I36" s="56" t="s">
        <v>2313</v>
      </c>
      <c r="J36" s="79" t="str">
        <f t="shared" si="4"/>
        <v>[n,n,n]</v>
      </c>
      <c r="K36" s="68" t="s">
        <v>2312</v>
      </c>
      <c r="L36" s="62" t="s">
        <v>2312</v>
      </c>
      <c r="M36" s="62" t="s">
        <v>2313</v>
      </c>
      <c r="N36" s="58" t="str">
        <f t="shared" si="5"/>
        <v>[p,p,n]</v>
      </c>
      <c r="O36" s="48" t="s">
        <v>2771</v>
      </c>
      <c r="P36">
        <v>115</v>
      </c>
      <c r="R36" s="1"/>
      <c r="S36" s="1"/>
      <c r="T36" s="1"/>
      <c r="U36" s="1"/>
    </row>
    <row r="37" spans="1:21" ht="30">
      <c r="A37" s="66" t="str">
        <f t="shared" si="3"/>
        <v>T36</v>
      </c>
      <c r="B37" s="75" t="s">
        <v>2422</v>
      </c>
      <c r="C37" s="55" t="s">
        <v>2364</v>
      </c>
      <c r="D37" s="55" t="s">
        <v>2431</v>
      </c>
      <c r="E37" s="56" t="s">
        <v>2318</v>
      </c>
      <c r="F37" s="57" t="s">
        <v>2335</v>
      </c>
      <c r="G37" s="56" t="s">
        <v>2313</v>
      </c>
      <c r="H37" s="56" t="s">
        <v>2313</v>
      </c>
      <c r="I37" s="56" t="s">
        <v>2313</v>
      </c>
      <c r="J37" s="79" t="str">
        <f t="shared" si="4"/>
        <v>[n,n,n]</v>
      </c>
      <c r="K37" s="68" t="s">
        <v>2313</v>
      </c>
      <c r="L37" s="62" t="s">
        <v>2313</v>
      </c>
      <c r="M37" s="62" t="s">
        <v>2312</v>
      </c>
      <c r="N37" s="58" t="str">
        <f t="shared" si="5"/>
        <v>[n,n,p]</v>
      </c>
      <c r="O37" s="52">
        <v>602</v>
      </c>
      <c r="R37" s="1"/>
      <c r="S37" s="1"/>
      <c r="T37" s="1"/>
      <c r="U37" s="1"/>
    </row>
    <row r="38" spans="1:21" ht="29">
      <c r="A38" s="66" t="str">
        <f t="shared" si="3"/>
        <v>T37</v>
      </c>
      <c r="B38" s="77" t="s">
        <v>2432</v>
      </c>
      <c r="C38" s="50" t="s">
        <v>2433</v>
      </c>
      <c r="D38" s="50" t="s">
        <v>2434</v>
      </c>
      <c r="E38" s="52" t="s">
        <v>2322</v>
      </c>
      <c r="F38" s="57" t="s">
        <v>2335</v>
      </c>
      <c r="G38" s="56" t="s">
        <v>2313</v>
      </c>
      <c r="H38" s="56" t="s">
        <v>2313</v>
      </c>
      <c r="I38" s="56" t="s">
        <v>2313</v>
      </c>
      <c r="J38" s="79" t="str">
        <f t="shared" si="4"/>
        <v>[n,n,n]</v>
      </c>
      <c r="K38" s="68" t="s">
        <v>2312</v>
      </c>
      <c r="L38" s="62" t="s">
        <v>2312</v>
      </c>
      <c r="M38" s="62" t="s">
        <v>2312</v>
      </c>
      <c r="N38" s="58" t="str">
        <f t="shared" si="5"/>
        <v>[p,p,p]</v>
      </c>
      <c r="O38" s="52" t="s">
        <v>2435</v>
      </c>
      <c r="R38" s="1"/>
      <c r="S38" s="1"/>
      <c r="T38" s="1"/>
      <c r="U38" s="1"/>
    </row>
    <row r="39" spans="1:21" ht="29">
      <c r="A39" s="66" t="str">
        <f t="shared" si="3"/>
        <v>T38</v>
      </c>
      <c r="B39" s="77" t="s">
        <v>2432</v>
      </c>
      <c r="C39" s="50" t="s">
        <v>2436</v>
      </c>
      <c r="D39" s="50" t="s">
        <v>2437</v>
      </c>
      <c r="E39" s="52" t="s">
        <v>2406</v>
      </c>
      <c r="F39" s="57" t="s">
        <v>2335</v>
      </c>
      <c r="G39" s="56" t="s">
        <v>2313</v>
      </c>
      <c r="H39" s="56" t="s">
        <v>2313</v>
      </c>
      <c r="I39" s="56" t="s">
        <v>2313</v>
      </c>
      <c r="J39" s="79" t="str">
        <f t="shared" si="4"/>
        <v>[n,n,n]</v>
      </c>
      <c r="K39" s="68" t="s">
        <v>2312</v>
      </c>
      <c r="L39" s="62" t="s">
        <v>2312</v>
      </c>
      <c r="M39" s="62" t="s">
        <v>2313</v>
      </c>
      <c r="N39" s="58" t="str">
        <f t="shared" si="5"/>
        <v>[p,p,n]</v>
      </c>
      <c r="O39" s="52">
        <v>483</v>
      </c>
      <c r="P39">
        <v>148</v>
      </c>
      <c r="R39" s="1"/>
      <c r="S39" s="1"/>
      <c r="T39" s="1"/>
      <c r="U39" s="1"/>
    </row>
    <row r="40" spans="1:21" ht="30">
      <c r="A40" s="66" t="str">
        <f t="shared" si="3"/>
        <v>T39</v>
      </c>
      <c r="B40" s="77" t="s">
        <v>2432</v>
      </c>
      <c r="C40" s="59" t="s">
        <v>2438</v>
      </c>
      <c r="D40" s="59" t="s">
        <v>2365</v>
      </c>
      <c r="E40" s="60" t="s">
        <v>2344</v>
      </c>
      <c r="F40" s="61" t="s">
        <v>2335</v>
      </c>
      <c r="G40" s="60" t="s">
        <v>2313</v>
      </c>
      <c r="H40" s="60" t="s">
        <v>2313</v>
      </c>
      <c r="I40" s="60" t="s">
        <v>2313</v>
      </c>
      <c r="J40" s="79" t="str">
        <f t="shared" si="4"/>
        <v>[n,n,n]</v>
      </c>
      <c r="K40" s="68" t="s">
        <v>2313</v>
      </c>
      <c r="L40" s="62" t="s">
        <v>2312</v>
      </c>
      <c r="M40" s="62" t="s">
        <v>2313</v>
      </c>
      <c r="N40" s="58" t="str">
        <f t="shared" si="5"/>
        <v>[n,p,n]</v>
      </c>
      <c r="O40" s="52">
        <v>703</v>
      </c>
      <c r="R40" s="1"/>
      <c r="S40" s="1"/>
      <c r="T40" s="1"/>
      <c r="U40" s="1"/>
    </row>
    <row r="41" spans="1:21" ht="30">
      <c r="A41" s="66" t="str">
        <f t="shared" si="3"/>
        <v>T40</v>
      </c>
      <c r="B41" s="77" t="s">
        <v>2432</v>
      </c>
      <c r="C41" s="55" t="s">
        <v>2364</v>
      </c>
      <c r="D41" s="55" t="s">
        <v>2431</v>
      </c>
      <c r="E41" s="56" t="s">
        <v>2318</v>
      </c>
      <c r="F41" s="57" t="s">
        <v>2335</v>
      </c>
      <c r="G41" s="56" t="s">
        <v>2313</v>
      </c>
      <c r="H41" s="56" t="s">
        <v>2313</v>
      </c>
      <c r="I41" s="56" t="s">
        <v>2313</v>
      </c>
      <c r="J41" s="79" t="str">
        <f t="shared" si="4"/>
        <v>[n,n,n]</v>
      </c>
      <c r="K41" s="68" t="s">
        <v>2313</v>
      </c>
      <c r="L41" s="62" t="s">
        <v>2313</v>
      </c>
      <c r="M41" s="62" t="s">
        <v>2312</v>
      </c>
      <c r="N41" s="58" t="str">
        <f t="shared" si="5"/>
        <v>[n,n,p]</v>
      </c>
      <c r="O41" s="52">
        <v>602</v>
      </c>
      <c r="R41" s="1"/>
      <c r="S41" s="1"/>
      <c r="T41" s="1"/>
      <c r="U41" s="1"/>
    </row>
    <row r="42" spans="1:21" ht="32.25" customHeight="1">
      <c r="A42" s="66" t="str">
        <f t="shared" si="3"/>
        <v>T41</v>
      </c>
      <c r="B42" s="75" t="s">
        <v>2439</v>
      </c>
      <c r="C42" s="48" t="s">
        <v>2440</v>
      </c>
      <c r="D42" s="48" t="s">
        <v>2441</v>
      </c>
      <c r="E42" s="56" t="s">
        <v>2318</v>
      </c>
      <c r="F42" s="57" t="s">
        <v>2335</v>
      </c>
      <c r="G42" s="56" t="s">
        <v>2313</v>
      </c>
      <c r="H42" s="56" t="s">
        <v>2313</v>
      </c>
      <c r="I42" s="56" t="s">
        <v>2313</v>
      </c>
      <c r="J42" s="79" t="str">
        <f t="shared" si="4"/>
        <v>[n,n,n]</v>
      </c>
      <c r="K42" s="68" t="s">
        <v>2313</v>
      </c>
      <c r="L42" s="62" t="s">
        <v>2312</v>
      </c>
      <c r="M42" s="62" t="s">
        <v>2312</v>
      </c>
      <c r="N42" s="58" t="str">
        <f t="shared" si="5"/>
        <v>[n,p,p]</v>
      </c>
      <c r="O42" s="52">
        <v>491</v>
      </c>
      <c r="P42">
        <v>212</v>
      </c>
      <c r="R42" s="1"/>
      <c r="S42" s="1"/>
      <c r="T42" s="1"/>
      <c r="U42" s="1"/>
    </row>
    <row r="43" spans="1:21" ht="32.25" customHeight="1">
      <c r="A43" s="66" t="str">
        <f>CONCATENATE("T",ROW(A43)-1)</f>
        <v>T42</v>
      </c>
      <c r="B43" s="76" t="s">
        <v>2439</v>
      </c>
      <c r="C43" s="59" t="s">
        <v>2442</v>
      </c>
      <c r="D43" s="59" t="s">
        <v>2443</v>
      </c>
      <c r="E43" s="60" t="s">
        <v>2386</v>
      </c>
      <c r="F43" s="61" t="s">
        <v>2335</v>
      </c>
      <c r="G43" s="60" t="s">
        <v>2313</v>
      </c>
      <c r="H43" s="60" t="s">
        <v>2313</v>
      </c>
      <c r="I43" s="60" t="s">
        <v>2313</v>
      </c>
      <c r="J43" s="80" t="str">
        <f>CONCATENATE("[",G43,",",H43,",",I43,"]")</f>
        <v>[n,n,n]</v>
      </c>
      <c r="K43" s="68" t="s">
        <v>2312</v>
      </c>
      <c r="L43" s="62" t="s">
        <v>2313</v>
      </c>
      <c r="M43" s="62" t="s">
        <v>2313</v>
      </c>
      <c r="N43" s="58" t="str">
        <f>CONCATENATE("[",K43,",",L43,",",M43,"]")</f>
        <v>[p,n,n]</v>
      </c>
      <c r="O43" s="52">
        <v>704</v>
      </c>
      <c r="P43">
        <v>151</v>
      </c>
      <c r="R43" s="1"/>
      <c r="S43" s="1"/>
      <c r="T43" s="1"/>
      <c r="U43" s="1"/>
    </row>
    <row r="44" spans="1:21" ht="25.5" customHeight="1">
      <c r="A44" s="66" t="str">
        <f t="shared" si="3"/>
        <v>T43</v>
      </c>
      <c r="B44" s="75" t="s">
        <v>2444</v>
      </c>
      <c r="C44" s="55" t="s">
        <v>2445</v>
      </c>
      <c r="D44" s="55" t="s">
        <v>2446</v>
      </c>
      <c r="E44" s="56" t="s">
        <v>2334</v>
      </c>
      <c r="F44" s="57" t="s">
        <v>2335</v>
      </c>
      <c r="G44" s="56" t="s">
        <v>2313</v>
      </c>
      <c r="H44" s="56" t="s">
        <v>2313</v>
      </c>
      <c r="I44" s="56" t="s">
        <v>2313</v>
      </c>
      <c r="J44" s="79" t="str">
        <f t="shared" si="4"/>
        <v>[n,n,n]</v>
      </c>
      <c r="K44" s="68" t="s">
        <v>2313</v>
      </c>
      <c r="L44" s="62" t="s">
        <v>2312</v>
      </c>
      <c r="M44" s="62" t="s">
        <v>2312</v>
      </c>
      <c r="N44" s="58" t="str">
        <f t="shared" si="5"/>
        <v>[n,p,p]</v>
      </c>
      <c r="O44" s="52">
        <v>549</v>
      </c>
      <c r="P44">
        <v>148</v>
      </c>
      <c r="R44" s="1"/>
      <c r="S44" s="1"/>
      <c r="T44" s="1"/>
      <c r="U44" s="1"/>
    </row>
    <row r="45" spans="1:21" ht="33" customHeight="1">
      <c r="A45" s="66" t="str">
        <f t="shared" si="3"/>
        <v>T44</v>
      </c>
      <c r="B45" s="75" t="s">
        <v>2444</v>
      </c>
      <c r="C45" s="56" t="s">
        <v>2364</v>
      </c>
      <c r="D45" s="55" t="s">
        <v>2447</v>
      </c>
      <c r="E45" s="56" t="s">
        <v>2318</v>
      </c>
      <c r="F45" s="57" t="s">
        <v>2335</v>
      </c>
      <c r="G45" s="56" t="s">
        <v>2312</v>
      </c>
      <c r="H45" s="56" t="s">
        <v>2313</v>
      </c>
      <c r="I45" s="56" t="s">
        <v>2313</v>
      </c>
      <c r="J45" s="79" t="str">
        <f t="shared" si="4"/>
        <v>[p,n,n]</v>
      </c>
      <c r="K45" s="68" t="s">
        <v>2314</v>
      </c>
      <c r="L45" s="62" t="s">
        <v>2313</v>
      </c>
      <c r="M45" s="62" t="s">
        <v>2313</v>
      </c>
      <c r="N45" s="58" t="str">
        <f t="shared" si="5"/>
        <v>[f,n,n]</v>
      </c>
      <c r="O45" s="52">
        <v>602.91999999999996</v>
      </c>
      <c r="R45" s="1"/>
      <c r="S45" s="1"/>
      <c r="T45" s="1"/>
      <c r="U45" s="1"/>
    </row>
    <row r="46" spans="1:21" ht="15.75" customHeight="1">
      <c r="A46" s="66" t="str">
        <f t="shared" si="3"/>
        <v>T45</v>
      </c>
      <c r="B46" s="75" t="s">
        <v>2307</v>
      </c>
      <c r="C46" s="56" t="s">
        <v>2448</v>
      </c>
      <c r="D46" s="56" t="s">
        <v>2449</v>
      </c>
      <c r="E46" s="56" t="s">
        <v>2310</v>
      </c>
      <c r="F46" s="57" t="s">
        <v>2400</v>
      </c>
      <c r="G46" s="56" t="s">
        <v>2313</v>
      </c>
      <c r="H46" s="56" t="s">
        <v>2313</v>
      </c>
      <c r="I46" s="56" t="s">
        <v>2313</v>
      </c>
      <c r="J46" s="79" t="str">
        <f t="shared" si="4"/>
        <v>[n,n,n]</v>
      </c>
      <c r="K46" s="68" t="s">
        <v>2312</v>
      </c>
      <c r="L46" s="62" t="s">
        <v>2312</v>
      </c>
      <c r="M46" s="62" t="s">
        <v>2313</v>
      </c>
      <c r="N46" s="58" t="str">
        <f t="shared" si="5"/>
        <v>[p,p,n]</v>
      </c>
      <c r="O46" s="52">
        <v>119</v>
      </c>
      <c r="P46">
        <v>216</v>
      </c>
      <c r="R46" s="1"/>
      <c r="S46" s="1"/>
      <c r="T46" s="1"/>
      <c r="U46" s="1"/>
    </row>
    <row r="47" spans="1:21" ht="15.75" customHeight="1">
      <c r="A47" s="66" t="str">
        <f t="shared" si="3"/>
        <v>T46</v>
      </c>
      <c r="B47" s="75" t="s">
        <v>2307</v>
      </c>
      <c r="C47" s="56" t="s">
        <v>2450</v>
      </c>
      <c r="D47" s="56" t="s">
        <v>2451</v>
      </c>
      <c r="E47" s="56" t="s">
        <v>2344</v>
      </c>
      <c r="F47" s="57" t="s">
        <v>2335</v>
      </c>
      <c r="G47" s="56" t="s">
        <v>2313</v>
      </c>
      <c r="H47" s="56" t="s">
        <v>2313</v>
      </c>
      <c r="I47" s="56" t="s">
        <v>2313</v>
      </c>
      <c r="J47" s="79" t="str">
        <f t="shared" si="4"/>
        <v>[n,n,n]</v>
      </c>
      <c r="K47" s="67" t="s">
        <v>2312</v>
      </c>
      <c r="L47" s="52" t="s">
        <v>2313</v>
      </c>
      <c r="M47" s="52" t="s">
        <v>2313</v>
      </c>
      <c r="N47" s="58" t="str">
        <f t="shared" si="5"/>
        <v>[p,n,n]</v>
      </c>
      <c r="O47" s="52">
        <v>261</v>
      </c>
      <c r="P47">
        <v>216</v>
      </c>
    </row>
    <row r="48" spans="1:21" ht="15.75" customHeight="1">
      <c r="A48" s="66" t="str">
        <f t="shared" si="3"/>
        <v>T47</v>
      </c>
      <c r="B48" s="75" t="s">
        <v>2307</v>
      </c>
      <c r="C48" s="56" t="s">
        <v>2452</v>
      </c>
      <c r="D48" s="56" t="s">
        <v>2453</v>
      </c>
      <c r="E48" s="56" t="s">
        <v>2330</v>
      </c>
      <c r="F48" s="57" t="s">
        <v>2335</v>
      </c>
      <c r="G48" s="56" t="s">
        <v>2313</v>
      </c>
      <c r="H48" s="56" t="s">
        <v>2313</v>
      </c>
      <c r="I48" s="56" t="s">
        <v>2313</v>
      </c>
      <c r="J48" s="79" t="str">
        <f t="shared" si="4"/>
        <v>[n,n,n]</v>
      </c>
      <c r="K48" s="67" t="s">
        <v>2313</v>
      </c>
      <c r="L48" s="52" t="s">
        <v>2313</v>
      </c>
      <c r="M48" s="52" t="s">
        <v>2312</v>
      </c>
      <c r="N48" s="58" t="str">
        <f t="shared" si="5"/>
        <v>[n,n,p]</v>
      </c>
      <c r="O48" s="52" t="s">
        <v>2454</v>
      </c>
    </row>
    <row r="49" spans="1:15" ht="15.75" customHeight="1">
      <c r="A49" s="66" t="str">
        <f t="shared" si="3"/>
        <v>T48</v>
      </c>
      <c r="B49" s="76" t="s">
        <v>2455</v>
      </c>
      <c r="C49" s="60" t="s">
        <v>2456</v>
      </c>
      <c r="D49" s="60" t="s">
        <v>2457</v>
      </c>
      <c r="E49" s="56" t="s">
        <v>2458</v>
      </c>
      <c r="F49" s="57" t="s">
        <v>2459</v>
      </c>
      <c r="G49" s="56" t="s">
        <v>2313</v>
      </c>
      <c r="H49" s="56" t="s">
        <v>2313</v>
      </c>
      <c r="I49" s="56" t="s">
        <v>2313</v>
      </c>
      <c r="J49" s="79" t="str">
        <f t="shared" si="4"/>
        <v>[n,n,n]</v>
      </c>
      <c r="K49" s="67" t="s">
        <v>2312</v>
      </c>
      <c r="L49" s="52" t="s">
        <v>2313</v>
      </c>
      <c r="M49" s="52" t="s">
        <v>2313</v>
      </c>
      <c r="N49" s="58" t="str">
        <f t="shared" si="5"/>
        <v>[p,n,n]</v>
      </c>
      <c r="O49" s="52">
        <v>60</v>
      </c>
    </row>
    <row r="50" spans="1:15" ht="15.75" customHeight="1">
      <c r="A50" s="66" t="str">
        <f t="shared" si="3"/>
        <v>T49</v>
      </c>
      <c r="B50" s="76" t="s">
        <v>2460</v>
      </c>
      <c r="C50" s="60" t="s">
        <v>2461</v>
      </c>
      <c r="D50" s="60" t="s">
        <v>2462</v>
      </c>
      <c r="E50" s="60" t="s">
        <v>2344</v>
      </c>
      <c r="F50" s="57" t="s">
        <v>2335</v>
      </c>
      <c r="G50" s="60" t="s">
        <v>2313</v>
      </c>
      <c r="H50" s="60" t="s">
        <v>2313</v>
      </c>
      <c r="I50" s="60" t="s">
        <v>2313</v>
      </c>
      <c r="J50" s="79" t="str">
        <f t="shared" si="4"/>
        <v>[n,n,n]</v>
      </c>
      <c r="K50" s="67" t="s">
        <v>2313</v>
      </c>
      <c r="L50" s="52" t="s">
        <v>2312</v>
      </c>
      <c r="M50" s="52" t="s">
        <v>2313</v>
      </c>
      <c r="N50" s="58" t="str">
        <f t="shared" si="5"/>
        <v>[n,p,n]</v>
      </c>
      <c r="O50" s="52">
        <v>60</v>
      </c>
    </row>
    <row r="51" spans="1:15" ht="15.75" customHeight="1">
      <c r="B51" s="70"/>
      <c r="C51" s="70"/>
      <c r="D51" s="70"/>
      <c r="E51" s="70"/>
      <c r="F51" s="70"/>
      <c r="G51" s="70"/>
      <c r="H51" s="70"/>
      <c r="I51" s="70"/>
      <c r="J51" s="70"/>
    </row>
    <row r="52" spans="1:15" ht="15.75" customHeight="1"/>
    <row r="53" spans="1:15" ht="15.75" customHeight="1"/>
    <row r="54" spans="1:15" ht="15.75" customHeight="1"/>
    <row r="55" spans="1:15" ht="15.75" customHeight="1"/>
    <row r="56" spans="1:15" ht="15.75" customHeight="1"/>
    <row r="57" spans="1:15" ht="15.75" customHeight="1"/>
    <row r="58" spans="1:15" ht="15.75" customHeight="1"/>
    <row r="59" spans="1:15" ht="15.75" customHeight="1"/>
    <row r="60" spans="1:15" ht="15.75" customHeight="1"/>
    <row r="61" spans="1:15" ht="15.75" customHeight="1"/>
    <row r="62" spans="1:15" ht="15.75" customHeight="1"/>
    <row r="63" spans="1:15" ht="15.75" customHeight="1"/>
    <row r="64" spans="1: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conditionalFormatting sqref="O1:R1">
    <cfRule type="containsBlanks" dxfId="6" priority="3" stopIfTrue="1">
      <formula>LEN(TRIM(O1))=0</formula>
    </cfRule>
  </conditionalFormatting>
  <conditionalFormatting sqref="P2:R2">
    <cfRule type="containsBlanks" dxfId="2" priority="1" stopIfTrue="1">
      <formula>LEN(TRIM(P2))=0</formula>
    </cfRule>
  </conditionalFormatting>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99"/>
  <sheetViews>
    <sheetView tabSelected="1" topLeftCell="I31" zoomScale="85" zoomScaleNormal="85" workbookViewId="0">
      <selection activeCell="O34" sqref="O34:Q48"/>
    </sheetView>
  </sheetViews>
  <sheetFormatPr baseColWidth="10" defaultColWidth="14.5" defaultRowHeight="15" customHeight="1"/>
  <cols>
    <col min="1" max="1" width="20.6640625" style="9" customWidth="1"/>
    <col min="2" max="2" width="21.83203125" style="9" customWidth="1"/>
    <col min="3" max="3" width="29.83203125" style="9" customWidth="1"/>
    <col min="4" max="4" width="10.6640625" style="9" customWidth="1"/>
    <col min="5" max="5" width="22.6640625" style="9" customWidth="1"/>
    <col min="6" max="8" width="10.6640625" style="9" customWidth="1"/>
    <col min="9" max="9" width="17.1640625" style="9" customWidth="1"/>
    <col min="10" max="12" width="10.6640625" style="9" customWidth="1"/>
    <col min="13" max="13" width="16.5" style="9" customWidth="1"/>
    <col min="14" max="14" width="17" style="9" customWidth="1"/>
    <col min="15" max="15" width="15.5" style="9" customWidth="1"/>
    <col min="16" max="16" width="21" style="9" customWidth="1"/>
    <col min="17" max="17" width="16.6640625" style="9" customWidth="1"/>
    <col min="18" max="26" width="10.6640625" style="9" customWidth="1"/>
    <col min="27" max="16384" width="14.5" style="9"/>
  </cols>
  <sheetData>
    <row r="1" spans="1:20" ht="24.75" customHeight="1">
      <c r="A1" s="19" t="s">
        <v>2463</v>
      </c>
      <c r="B1" s="19" t="s">
        <v>2290</v>
      </c>
      <c r="C1" s="19" t="s">
        <v>2291</v>
      </c>
      <c r="D1" s="19" t="s">
        <v>2292</v>
      </c>
      <c r="E1" s="19" t="s">
        <v>2293</v>
      </c>
      <c r="F1" s="19" t="s">
        <v>2294</v>
      </c>
      <c r="G1" s="19" t="s">
        <v>2295</v>
      </c>
      <c r="H1" s="19" t="s">
        <v>2296</v>
      </c>
      <c r="I1" s="19" t="s">
        <v>2464</v>
      </c>
      <c r="J1" s="19" t="s">
        <v>2298</v>
      </c>
      <c r="K1" s="19" t="s">
        <v>2299</v>
      </c>
      <c r="L1" s="19" t="s">
        <v>2300</v>
      </c>
      <c r="M1" s="19" t="s">
        <v>2301</v>
      </c>
      <c r="N1" s="19" t="s">
        <v>2302</v>
      </c>
      <c r="O1" s="114" t="s">
        <v>2303</v>
      </c>
      <c r="P1" s="114" t="s">
        <v>2304</v>
      </c>
      <c r="Q1" s="114" t="s">
        <v>2305</v>
      </c>
    </row>
    <row r="2" spans="1:20" ht="72.75" customHeight="1">
      <c r="A2" s="47" t="s">
        <v>2465</v>
      </c>
      <c r="B2" s="48" t="s">
        <v>2466</v>
      </c>
      <c r="C2" s="49" t="s">
        <v>2467</v>
      </c>
      <c r="D2" s="20" t="s">
        <v>2382</v>
      </c>
      <c r="E2" s="21" t="s">
        <v>2468</v>
      </c>
      <c r="F2" s="21" t="s">
        <v>2312</v>
      </c>
      <c r="G2" s="21" t="s">
        <v>2313</v>
      </c>
      <c r="H2" s="21" t="s">
        <v>2313</v>
      </c>
      <c r="I2" s="21" t="str">
        <f t="shared" ref="I2:I48" si="0">CONCATENATE("[",F2,",",G2,",",H2,"]")</f>
        <v>[p,n,n]</v>
      </c>
      <c r="J2" s="21" t="s">
        <v>2314</v>
      </c>
      <c r="K2" s="21" t="s">
        <v>2312</v>
      </c>
      <c r="L2" s="21" t="s">
        <v>2312</v>
      </c>
      <c r="M2" s="21" t="str">
        <f t="shared" ref="M2:M48" si="1">CONCATENATE("[",J2,",",K2,",",L2,"]")</f>
        <v>[f,p,p]</v>
      </c>
      <c r="N2" s="98" t="s">
        <v>2772</v>
      </c>
      <c r="O2" s="115" t="s">
        <v>2789</v>
      </c>
      <c r="P2" s="115" t="s">
        <v>2790</v>
      </c>
      <c r="Q2" s="115"/>
      <c r="T2" s="113" t="s">
        <v>2788</v>
      </c>
    </row>
    <row r="3" spans="1:20" ht="57" customHeight="1">
      <c r="A3" s="47" t="s">
        <v>2465</v>
      </c>
      <c r="B3" s="48" t="s">
        <v>2469</v>
      </c>
      <c r="C3" s="48" t="s">
        <v>2470</v>
      </c>
      <c r="D3" s="20" t="s">
        <v>2406</v>
      </c>
      <c r="E3" s="21" t="s">
        <v>2471</v>
      </c>
      <c r="F3" s="21" t="s">
        <v>2313</v>
      </c>
      <c r="G3" s="21" t="s">
        <v>2313</v>
      </c>
      <c r="H3" s="21" t="s">
        <v>2313</v>
      </c>
      <c r="I3" s="21" t="str">
        <f t="shared" si="0"/>
        <v>[n,n,n]</v>
      </c>
      <c r="J3" s="21" t="s">
        <v>2312</v>
      </c>
      <c r="K3" s="21" t="s">
        <v>2313</v>
      </c>
      <c r="L3" s="21" t="s">
        <v>2313</v>
      </c>
      <c r="M3" s="21" t="str">
        <f t="shared" si="1"/>
        <v>[p,n,n]</v>
      </c>
      <c r="N3" s="84" t="s">
        <v>2472</v>
      </c>
      <c r="O3" s="116" t="s">
        <v>2791</v>
      </c>
      <c r="P3" s="116" t="s">
        <v>2792</v>
      </c>
      <c r="Q3" s="116" t="s">
        <v>2793</v>
      </c>
    </row>
    <row r="4" spans="1:20" ht="60.75" customHeight="1">
      <c r="A4" s="47" t="s">
        <v>2465</v>
      </c>
      <c r="B4" s="48" t="s">
        <v>2473</v>
      </c>
      <c r="C4" s="48" t="s">
        <v>2474</v>
      </c>
      <c r="D4" s="20" t="s">
        <v>2330</v>
      </c>
      <c r="E4" s="21" t="s">
        <v>2475</v>
      </c>
      <c r="F4" s="21" t="s">
        <v>2313</v>
      </c>
      <c r="G4" s="21" t="s">
        <v>2313</v>
      </c>
      <c r="H4" s="21" t="s">
        <v>2313</v>
      </c>
      <c r="I4" s="21" t="str">
        <f t="shared" si="0"/>
        <v>[n,n,n]</v>
      </c>
      <c r="J4" s="21" t="s">
        <v>2313</v>
      </c>
      <c r="K4" s="21" t="s">
        <v>2313</v>
      </c>
      <c r="L4" s="21" t="s">
        <v>2312</v>
      </c>
      <c r="M4" s="21" t="str">
        <f t="shared" si="1"/>
        <v>[n,n,p]</v>
      </c>
      <c r="N4" s="83" t="s">
        <v>2476</v>
      </c>
      <c r="O4" s="116">
        <v>125</v>
      </c>
      <c r="P4" s="116">
        <v>488</v>
      </c>
      <c r="Q4" s="117"/>
    </row>
    <row r="5" spans="1:20" s="28" customFormat="1" ht="60" customHeight="1">
      <c r="A5" s="102" t="s">
        <v>2465</v>
      </c>
      <c r="B5" s="103" t="s">
        <v>2375</v>
      </c>
      <c r="C5" s="103" t="s">
        <v>2477</v>
      </c>
      <c r="D5" s="104" t="s">
        <v>2382</v>
      </c>
      <c r="E5" s="103" t="s">
        <v>2471</v>
      </c>
      <c r="F5" s="103" t="s">
        <v>2312</v>
      </c>
      <c r="G5" s="103" t="s">
        <v>2313</v>
      </c>
      <c r="H5" s="103" t="s">
        <v>2313</v>
      </c>
      <c r="I5" s="103" t="str">
        <f t="shared" si="0"/>
        <v>[p,n,n]</v>
      </c>
      <c r="J5" s="103" t="s">
        <v>2312</v>
      </c>
      <c r="K5" s="103" t="s">
        <v>2312</v>
      </c>
      <c r="L5" s="103" t="s">
        <v>2312</v>
      </c>
      <c r="M5" s="103" t="str">
        <f t="shared" si="1"/>
        <v>[p,p,p]</v>
      </c>
      <c r="N5" s="101" t="s">
        <v>2478</v>
      </c>
      <c r="O5" s="105"/>
    </row>
    <row r="6" spans="1:20" ht="57" customHeight="1">
      <c r="A6" s="47" t="s">
        <v>2465</v>
      </c>
      <c r="B6" s="50" t="s">
        <v>2479</v>
      </c>
      <c r="C6" s="50" t="s">
        <v>2480</v>
      </c>
      <c r="D6" s="50" t="s">
        <v>2386</v>
      </c>
      <c r="E6" s="21" t="s">
        <v>2471</v>
      </c>
      <c r="F6" s="21" t="s">
        <v>2313</v>
      </c>
      <c r="G6" s="21" t="s">
        <v>2313</v>
      </c>
      <c r="H6" s="21" t="s">
        <v>2313</v>
      </c>
      <c r="I6" s="21" t="str">
        <f t="shared" si="0"/>
        <v>[n,n,n]</v>
      </c>
      <c r="J6" s="21" t="s">
        <v>2312</v>
      </c>
      <c r="K6" s="21" t="s">
        <v>2313</v>
      </c>
      <c r="L6" s="21" t="s">
        <v>2313</v>
      </c>
      <c r="M6" s="21" t="str">
        <f t="shared" si="1"/>
        <v>[p,n,n]</v>
      </c>
      <c r="N6" s="83" t="s">
        <v>2481</v>
      </c>
      <c r="O6" s="117">
        <v>115</v>
      </c>
      <c r="P6" s="117">
        <v>203</v>
      </c>
      <c r="Q6" s="117"/>
    </row>
    <row r="7" spans="1:20" s="28" customFormat="1" ht="64">
      <c r="A7" s="102" t="s">
        <v>2465</v>
      </c>
      <c r="B7" s="106" t="s">
        <v>2482</v>
      </c>
      <c r="C7" s="107" t="s">
        <v>2483</v>
      </c>
      <c r="D7" s="106" t="s">
        <v>2350</v>
      </c>
      <c r="E7" s="103" t="s">
        <v>2471</v>
      </c>
      <c r="F7" s="103" t="s">
        <v>2313</v>
      </c>
      <c r="G7" s="103" t="s">
        <v>2313</v>
      </c>
      <c r="H7" s="103" t="s">
        <v>2313</v>
      </c>
      <c r="I7" s="103" t="str">
        <f t="shared" si="0"/>
        <v>[n,n,n]</v>
      </c>
      <c r="J7" s="103" t="s">
        <v>2314</v>
      </c>
      <c r="K7" s="103" t="s">
        <v>2313</v>
      </c>
      <c r="L7" s="103" t="s">
        <v>2313</v>
      </c>
      <c r="M7" s="103" t="str">
        <f t="shared" si="1"/>
        <v>[f,n,n]</v>
      </c>
      <c r="N7" s="101">
        <v>844</v>
      </c>
      <c r="O7" s="105"/>
    </row>
    <row r="8" spans="1:20" ht="70.5" customHeight="1">
      <c r="A8" s="48" t="s">
        <v>2484</v>
      </c>
      <c r="B8" s="48" t="s">
        <v>2391</v>
      </c>
      <c r="C8" s="48" t="s">
        <v>2485</v>
      </c>
      <c r="D8" s="48" t="s">
        <v>2406</v>
      </c>
      <c r="E8" s="48" t="s">
        <v>2475</v>
      </c>
      <c r="F8" s="48" t="s">
        <v>2313</v>
      </c>
      <c r="G8" s="48" t="s">
        <v>2313</v>
      </c>
      <c r="H8" s="48" t="s">
        <v>2313</v>
      </c>
      <c r="I8" s="21" t="str">
        <f t="shared" si="0"/>
        <v>[n,n,n]</v>
      </c>
      <c r="J8" s="48" t="s">
        <v>2312</v>
      </c>
      <c r="K8" s="48" t="s">
        <v>2313</v>
      </c>
      <c r="L8" s="48" t="s">
        <v>2313</v>
      </c>
      <c r="M8" s="21" t="str">
        <f t="shared" si="1"/>
        <v>[p,n,n]</v>
      </c>
      <c r="N8" s="48">
        <v>308</v>
      </c>
      <c r="O8" s="117">
        <v>115</v>
      </c>
      <c r="P8" s="117"/>
      <c r="Q8" s="117"/>
    </row>
    <row r="9" spans="1:20" ht="64">
      <c r="A9" s="48" t="s">
        <v>2484</v>
      </c>
      <c r="B9" s="48" t="s">
        <v>2486</v>
      </c>
      <c r="C9" s="48" t="s">
        <v>2487</v>
      </c>
      <c r="D9" s="48" t="s">
        <v>2344</v>
      </c>
      <c r="E9" s="21" t="s">
        <v>2471</v>
      </c>
      <c r="F9" s="48" t="s">
        <v>2312</v>
      </c>
      <c r="G9" s="48" t="s">
        <v>2313</v>
      </c>
      <c r="H9" s="48" t="s">
        <v>2313</v>
      </c>
      <c r="I9" s="21" t="str">
        <f t="shared" si="0"/>
        <v>[p,n,n]</v>
      </c>
      <c r="J9" s="48" t="s">
        <v>2312</v>
      </c>
      <c r="K9" s="48" t="s">
        <v>2312</v>
      </c>
      <c r="L9" s="48" t="s">
        <v>2313</v>
      </c>
      <c r="M9" s="21" t="str">
        <f t="shared" si="1"/>
        <v>[p,p,n]</v>
      </c>
      <c r="N9" s="48" t="s">
        <v>2488</v>
      </c>
      <c r="O9" s="116">
        <v>151</v>
      </c>
      <c r="P9" s="117">
        <v>272</v>
      </c>
      <c r="Q9" s="117"/>
    </row>
    <row r="10" spans="1:20" ht="80">
      <c r="A10" s="48" t="s">
        <v>2484</v>
      </c>
      <c r="B10" s="48" t="s">
        <v>2489</v>
      </c>
      <c r="C10" s="48" t="s">
        <v>2490</v>
      </c>
      <c r="D10" s="48" t="s">
        <v>2386</v>
      </c>
      <c r="E10" s="21" t="s">
        <v>2471</v>
      </c>
      <c r="F10" s="48" t="s">
        <v>2313</v>
      </c>
      <c r="G10" s="48" t="s">
        <v>2313</v>
      </c>
      <c r="H10" s="48" t="s">
        <v>2313</v>
      </c>
      <c r="I10" s="21" t="str">
        <f t="shared" si="0"/>
        <v>[n,n,n]</v>
      </c>
      <c r="J10" s="48" t="s">
        <v>2312</v>
      </c>
      <c r="K10" s="48" t="s">
        <v>2313</v>
      </c>
      <c r="L10" s="48" t="s">
        <v>2313</v>
      </c>
      <c r="M10" s="21" t="str">
        <f t="shared" si="1"/>
        <v>[p,n,n]</v>
      </c>
      <c r="N10" s="48" t="s">
        <v>2491</v>
      </c>
      <c r="O10" s="116">
        <v>242</v>
      </c>
      <c r="P10" s="116">
        <v>272</v>
      </c>
      <c r="Q10" s="117"/>
    </row>
    <row r="11" spans="1:20" ht="51.75" customHeight="1">
      <c r="A11" s="48" t="s">
        <v>2484</v>
      </c>
      <c r="B11" s="48" t="s">
        <v>2469</v>
      </c>
      <c r="C11" s="48" t="s">
        <v>2470</v>
      </c>
      <c r="D11" s="20" t="s">
        <v>2406</v>
      </c>
      <c r="E11" s="21" t="s">
        <v>2471</v>
      </c>
      <c r="F11" s="48" t="s">
        <v>2313</v>
      </c>
      <c r="G11" s="48" t="s">
        <v>2313</v>
      </c>
      <c r="H11" s="48" t="s">
        <v>2313</v>
      </c>
      <c r="I11" s="21" t="str">
        <f t="shared" si="0"/>
        <v>[n,n,n]</v>
      </c>
      <c r="J11" s="48" t="s">
        <v>2312</v>
      </c>
      <c r="K11" s="48" t="s">
        <v>2313</v>
      </c>
      <c r="L11" s="48" t="s">
        <v>2313</v>
      </c>
      <c r="M11" s="21" t="str">
        <f t="shared" si="1"/>
        <v>[p,n,n]</v>
      </c>
      <c r="N11" s="108" t="s">
        <v>2773</v>
      </c>
      <c r="O11" s="116" t="s">
        <v>2791</v>
      </c>
      <c r="P11" s="117">
        <v>117</v>
      </c>
      <c r="Q11" s="117"/>
    </row>
    <row r="12" spans="1:20" s="28" customFormat="1" ht="42.75" customHeight="1">
      <c r="A12" s="101" t="s">
        <v>2492</v>
      </c>
      <c r="B12" s="101" t="s">
        <v>2493</v>
      </c>
      <c r="C12" s="101" t="s">
        <v>2494</v>
      </c>
      <c r="D12" s="101" t="s">
        <v>2495</v>
      </c>
      <c r="E12" s="103" t="s">
        <v>2471</v>
      </c>
      <c r="F12" s="101" t="s">
        <v>2313</v>
      </c>
      <c r="G12" s="101" t="s">
        <v>2313</v>
      </c>
      <c r="H12" s="101" t="s">
        <v>2313</v>
      </c>
      <c r="I12" s="103" t="str">
        <f t="shared" si="0"/>
        <v>[n,n,n]</v>
      </c>
      <c r="J12" s="101" t="s">
        <v>2314</v>
      </c>
      <c r="K12" s="101" t="s">
        <v>2313</v>
      </c>
      <c r="L12" s="101" t="s">
        <v>2313</v>
      </c>
      <c r="M12" s="103" t="str">
        <f t="shared" si="1"/>
        <v>[f,n,n]</v>
      </c>
      <c r="N12" s="101">
        <v>652</v>
      </c>
      <c r="O12" s="105"/>
    </row>
    <row r="13" spans="1:20" ht="38.25" customHeight="1">
      <c r="A13" s="48" t="s">
        <v>2492</v>
      </c>
      <c r="B13" s="48" t="s">
        <v>2496</v>
      </c>
      <c r="C13" s="48" t="s">
        <v>2497</v>
      </c>
      <c r="D13" s="48" t="s">
        <v>2322</v>
      </c>
      <c r="E13" s="21" t="s">
        <v>2471</v>
      </c>
      <c r="F13" s="48" t="s">
        <v>2313</v>
      </c>
      <c r="G13" s="48" t="s">
        <v>2313</v>
      </c>
      <c r="H13" s="48" t="s">
        <v>2313</v>
      </c>
      <c r="I13" s="21" t="str">
        <f t="shared" si="0"/>
        <v>[n,n,n]</v>
      </c>
      <c r="J13" s="48" t="s">
        <v>2313</v>
      </c>
      <c r="K13" s="48" t="s">
        <v>2314</v>
      </c>
      <c r="L13" s="48" t="s">
        <v>2313</v>
      </c>
      <c r="M13" s="21" t="str">
        <f t="shared" si="1"/>
        <v>[n,f,n]</v>
      </c>
      <c r="N13" s="48">
        <v>652</v>
      </c>
      <c r="O13" s="116">
        <v>151</v>
      </c>
      <c r="P13" s="116">
        <v>272</v>
      </c>
      <c r="Q13" s="117"/>
    </row>
    <row r="14" spans="1:20" ht="15" customHeight="1">
      <c r="A14" s="48" t="s">
        <v>2492</v>
      </c>
      <c r="B14" s="48" t="s">
        <v>2498</v>
      </c>
      <c r="C14" s="48" t="s">
        <v>2499</v>
      </c>
      <c r="D14" s="48" t="s">
        <v>2418</v>
      </c>
      <c r="E14" s="21" t="s">
        <v>2471</v>
      </c>
      <c r="F14" s="48" t="s">
        <v>2313</v>
      </c>
      <c r="G14" s="48" t="s">
        <v>2313</v>
      </c>
      <c r="H14" s="48" t="s">
        <v>2313</v>
      </c>
      <c r="I14" s="21" t="str">
        <f t="shared" si="0"/>
        <v>[n,n,n]</v>
      </c>
      <c r="J14" s="48" t="s">
        <v>2313</v>
      </c>
      <c r="K14" s="48" t="s">
        <v>2314</v>
      </c>
      <c r="L14" s="48" t="s">
        <v>2313</v>
      </c>
      <c r="M14" s="21" t="str">
        <f t="shared" si="1"/>
        <v>[n,f,n]</v>
      </c>
      <c r="N14" s="48">
        <v>652</v>
      </c>
      <c r="O14" s="117">
        <v>94</v>
      </c>
      <c r="P14" s="116">
        <v>21</v>
      </c>
      <c r="Q14" s="117"/>
    </row>
    <row r="15" spans="1:20" ht="59.25" customHeight="1">
      <c r="A15" s="48" t="s">
        <v>2500</v>
      </c>
      <c r="B15" s="48" t="s">
        <v>2501</v>
      </c>
      <c r="C15" s="48" t="s">
        <v>2502</v>
      </c>
      <c r="D15" s="48" t="s">
        <v>2330</v>
      </c>
      <c r="E15" s="21" t="s">
        <v>2471</v>
      </c>
      <c r="F15" s="48" t="s">
        <v>2313</v>
      </c>
      <c r="G15" s="48" t="s">
        <v>2313</v>
      </c>
      <c r="H15" s="48" t="s">
        <v>2313</v>
      </c>
      <c r="I15" s="21" t="str">
        <f t="shared" si="0"/>
        <v>[n,n,n]</v>
      </c>
      <c r="J15" s="48" t="s">
        <v>2313</v>
      </c>
      <c r="K15" s="48" t="s">
        <v>2313</v>
      </c>
      <c r="L15" s="48" t="s">
        <v>2314</v>
      </c>
      <c r="M15" s="21" t="str">
        <f t="shared" si="1"/>
        <v>[n,n,f]</v>
      </c>
      <c r="N15" s="48" t="s">
        <v>2503</v>
      </c>
      <c r="O15" s="117">
        <v>125</v>
      </c>
      <c r="P15" s="117"/>
      <c r="Q15" s="117"/>
    </row>
    <row r="16" spans="1:20" ht="58.5" customHeight="1">
      <c r="A16" s="48" t="s">
        <v>2500</v>
      </c>
      <c r="B16" s="48" t="s">
        <v>2504</v>
      </c>
      <c r="C16" s="48" t="s">
        <v>2505</v>
      </c>
      <c r="D16" s="48" t="s">
        <v>2506</v>
      </c>
      <c r="E16" s="21" t="s">
        <v>2471</v>
      </c>
      <c r="F16" s="48" t="s">
        <v>2313</v>
      </c>
      <c r="G16" s="48" t="s">
        <v>2313</v>
      </c>
      <c r="H16" s="48" t="s">
        <v>2313</v>
      </c>
      <c r="I16" s="21" t="str">
        <f t="shared" si="0"/>
        <v>[n,n,n]</v>
      </c>
      <c r="J16" s="48" t="s">
        <v>2314</v>
      </c>
      <c r="K16" s="48" t="s">
        <v>2314</v>
      </c>
      <c r="L16" s="48" t="s">
        <v>2313</v>
      </c>
      <c r="M16" s="21" t="str">
        <f t="shared" si="1"/>
        <v>[f,f,n]</v>
      </c>
      <c r="N16" s="48" t="s">
        <v>2503</v>
      </c>
      <c r="O16" s="117">
        <v>115</v>
      </c>
      <c r="P16" s="117"/>
      <c r="Q16" s="117"/>
    </row>
    <row r="17" spans="1:17" ht="45.75" customHeight="1">
      <c r="A17" s="48" t="s">
        <v>2500</v>
      </c>
      <c r="B17" s="48" t="s">
        <v>2507</v>
      </c>
      <c r="C17" s="48" t="s">
        <v>2508</v>
      </c>
      <c r="D17" s="48" t="s">
        <v>2334</v>
      </c>
      <c r="E17" s="48" t="s">
        <v>2475</v>
      </c>
      <c r="F17" s="48" t="s">
        <v>2313</v>
      </c>
      <c r="G17" s="48" t="s">
        <v>2313</v>
      </c>
      <c r="H17" s="48" t="s">
        <v>2313</v>
      </c>
      <c r="I17" s="21" t="str">
        <f t="shared" si="0"/>
        <v>[n,n,n]</v>
      </c>
      <c r="J17" s="48" t="s">
        <v>2313</v>
      </c>
      <c r="K17" s="48" t="s">
        <v>2314</v>
      </c>
      <c r="L17" s="48" t="s">
        <v>2314</v>
      </c>
      <c r="M17" s="21" t="str">
        <f t="shared" si="1"/>
        <v>[n,f,f]</v>
      </c>
      <c r="N17" s="48">
        <v>570</v>
      </c>
      <c r="O17" s="117">
        <v>20</v>
      </c>
      <c r="P17" s="117"/>
      <c r="Q17" s="117"/>
    </row>
    <row r="18" spans="1:17" ht="45.75" customHeight="1">
      <c r="A18" s="48" t="s">
        <v>2500</v>
      </c>
      <c r="B18" s="48" t="s">
        <v>2509</v>
      </c>
      <c r="C18" s="48" t="s">
        <v>2510</v>
      </c>
      <c r="D18" s="48" t="s">
        <v>2511</v>
      </c>
      <c r="E18" s="21" t="s">
        <v>2471</v>
      </c>
      <c r="F18" s="48" t="s">
        <v>2313</v>
      </c>
      <c r="G18" s="48" t="s">
        <v>2313</v>
      </c>
      <c r="H18" s="48" t="s">
        <v>2313</v>
      </c>
      <c r="I18" s="21" t="str">
        <f t="shared" si="0"/>
        <v>[n,n,n]</v>
      </c>
      <c r="J18" s="48" t="s">
        <v>2313</v>
      </c>
      <c r="K18" s="48" t="s">
        <v>2314</v>
      </c>
      <c r="L18" s="48" t="s">
        <v>2314</v>
      </c>
      <c r="M18" s="21" t="str">
        <f t="shared" si="1"/>
        <v>[n,f,f]</v>
      </c>
      <c r="N18" s="48" t="s">
        <v>2512</v>
      </c>
      <c r="O18" s="117">
        <v>115</v>
      </c>
      <c r="P18" s="116"/>
      <c r="Q18" s="117"/>
    </row>
    <row r="19" spans="1:17" ht="45.75" customHeight="1">
      <c r="A19" s="48" t="s">
        <v>2500</v>
      </c>
      <c r="B19" s="49" t="s">
        <v>2513</v>
      </c>
      <c r="C19" s="49" t="s">
        <v>2514</v>
      </c>
      <c r="D19" s="51" t="s">
        <v>2515</v>
      </c>
      <c r="E19" s="21" t="s">
        <v>2471</v>
      </c>
      <c r="F19" s="48" t="s">
        <v>2313</v>
      </c>
      <c r="G19" s="48" t="s">
        <v>2313</v>
      </c>
      <c r="H19" s="48" t="s">
        <v>2313</v>
      </c>
      <c r="I19" s="21" t="str">
        <f t="shared" si="0"/>
        <v>[n,n,n]</v>
      </c>
      <c r="J19" s="48" t="s">
        <v>2313</v>
      </c>
      <c r="K19" s="48" t="s">
        <v>2314</v>
      </c>
      <c r="L19" s="48" t="s">
        <v>2312</v>
      </c>
      <c r="M19" s="21" t="str">
        <f t="shared" si="1"/>
        <v>[n,f,p]</v>
      </c>
      <c r="N19" s="48">
        <v>844</v>
      </c>
      <c r="O19" s="117">
        <v>151</v>
      </c>
      <c r="P19" s="117">
        <v>272</v>
      </c>
      <c r="Q19" s="117"/>
    </row>
    <row r="20" spans="1:17" ht="45.75" customHeight="1">
      <c r="A20" s="48" t="s">
        <v>2500</v>
      </c>
      <c r="B20" s="49" t="s">
        <v>2516</v>
      </c>
      <c r="C20" s="49" t="s">
        <v>2517</v>
      </c>
      <c r="D20" s="51" t="s">
        <v>2518</v>
      </c>
      <c r="E20" s="21" t="s">
        <v>2471</v>
      </c>
      <c r="F20" s="48" t="s">
        <v>2313</v>
      </c>
      <c r="G20" s="48" t="s">
        <v>2313</v>
      </c>
      <c r="H20" s="48" t="s">
        <v>2313</v>
      </c>
      <c r="I20" s="21" t="str">
        <f t="shared" si="0"/>
        <v>[n,n,n]</v>
      </c>
      <c r="J20" s="48" t="s">
        <v>2313</v>
      </c>
      <c r="K20" s="48" t="s">
        <v>2314</v>
      </c>
      <c r="L20" s="48" t="s">
        <v>2313</v>
      </c>
      <c r="M20" s="21" t="str">
        <f t="shared" si="1"/>
        <v>[n,f,n]</v>
      </c>
      <c r="N20" s="48">
        <v>844</v>
      </c>
      <c r="O20" s="117">
        <v>151</v>
      </c>
      <c r="P20" s="117">
        <v>294</v>
      </c>
      <c r="Q20" s="117"/>
    </row>
    <row r="21" spans="1:17" ht="45.75" customHeight="1">
      <c r="A21" s="48" t="s">
        <v>2500</v>
      </c>
      <c r="B21" s="49" t="s">
        <v>2519</v>
      </c>
      <c r="C21" s="49" t="s">
        <v>2520</v>
      </c>
      <c r="D21" s="51" t="s">
        <v>2521</v>
      </c>
      <c r="E21" s="48" t="s">
        <v>2522</v>
      </c>
      <c r="F21" s="48" t="s">
        <v>2313</v>
      </c>
      <c r="G21" s="48" t="s">
        <v>2313</v>
      </c>
      <c r="H21" s="48" t="s">
        <v>2312</v>
      </c>
      <c r="I21" s="21" t="str">
        <f t="shared" si="0"/>
        <v>[n,n,p]</v>
      </c>
      <c r="J21" s="48" t="s">
        <v>2313</v>
      </c>
      <c r="K21" s="48" t="s">
        <v>2314</v>
      </c>
      <c r="L21" s="48" t="s">
        <v>2312</v>
      </c>
      <c r="M21" s="21" t="str">
        <f t="shared" si="1"/>
        <v>[n,f,p]</v>
      </c>
      <c r="N21" s="48">
        <v>870.22</v>
      </c>
      <c r="O21" s="116">
        <v>125</v>
      </c>
      <c r="P21" s="117">
        <v>488</v>
      </c>
      <c r="Q21" s="116"/>
    </row>
    <row r="22" spans="1:17" ht="45.75" customHeight="1">
      <c r="A22" s="48" t="s">
        <v>2500</v>
      </c>
      <c r="B22" s="49" t="s">
        <v>2523</v>
      </c>
      <c r="C22" s="49" t="s">
        <v>2524</v>
      </c>
      <c r="D22" s="51" t="s">
        <v>2350</v>
      </c>
      <c r="E22" s="21" t="s">
        <v>2471</v>
      </c>
      <c r="F22" s="48" t="s">
        <v>2313</v>
      </c>
      <c r="G22" s="48" t="s">
        <v>2313</v>
      </c>
      <c r="H22" s="48" t="s">
        <v>2313</v>
      </c>
      <c r="I22" s="21" t="str">
        <f t="shared" si="0"/>
        <v>[n,n,n]</v>
      </c>
      <c r="J22" s="48" t="s">
        <v>2313</v>
      </c>
      <c r="K22" s="48" t="s">
        <v>2314</v>
      </c>
      <c r="L22" s="48" t="s">
        <v>2313</v>
      </c>
      <c r="M22" s="21" t="str">
        <f t="shared" si="1"/>
        <v>[n,f,n]</v>
      </c>
      <c r="N22" s="48">
        <v>870</v>
      </c>
      <c r="O22" s="116" t="s">
        <v>2791</v>
      </c>
      <c r="P22" s="116">
        <v>117</v>
      </c>
      <c r="Q22" s="116"/>
    </row>
    <row r="23" spans="1:17" ht="62.25" customHeight="1">
      <c r="A23" s="48" t="s">
        <v>2500</v>
      </c>
      <c r="B23" s="49" t="s">
        <v>2525</v>
      </c>
      <c r="C23" s="49" t="s">
        <v>2526</v>
      </c>
      <c r="D23" s="51" t="s">
        <v>2318</v>
      </c>
      <c r="E23" s="48" t="s">
        <v>2522</v>
      </c>
      <c r="F23" s="48" t="s">
        <v>2313</v>
      </c>
      <c r="G23" s="48" t="s">
        <v>2313</v>
      </c>
      <c r="H23" s="48" t="s">
        <v>2312</v>
      </c>
      <c r="I23" s="21" t="str">
        <f t="shared" si="0"/>
        <v>[n,n,p]</v>
      </c>
      <c r="J23" s="48" t="s">
        <v>2313</v>
      </c>
      <c r="K23" s="48" t="s">
        <v>2313</v>
      </c>
      <c r="L23" s="48" t="s">
        <v>2314</v>
      </c>
      <c r="M23" s="21" t="str">
        <f t="shared" si="1"/>
        <v>[n,n,f]</v>
      </c>
      <c r="N23" s="48">
        <v>884</v>
      </c>
      <c r="O23" s="116">
        <v>20</v>
      </c>
      <c r="P23" s="116"/>
      <c r="Q23" s="116"/>
    </row>
    <row r="24" spans="1:17" ht="42.75" customHeight="1">
      <c r="A24" s="48" t="s">
        <v>2527</v>
      </c>
      <c r="B24" s="48" t="s">
        <v>2528</v>
      </c>
      <c r="C24" s="48" t="s">
        <v>2529</v>
      </c>
      <c r="D24" s="48" t="s">
        <v>2326</v>
      </c>
      <c r="E24" s="21" t="s">
        <v>2471</v>
      </c>
      <c r="F24" s="48" t="s">
        <v>2313</v>
      </c>
      <c r="G24" s="48" t="s">
        <v>2313</v>
      </c>
      <c r="H24" s="48" t="s">
        <v>2313</v>
      </c>
      <c r="I24" s="21" t="str">
        <f t="shared" si="0"/>
        <v>[n,n,n]</v>
      </c>
      <c r="J24" s="48" t="s">
        <v>2314</v>
      </c>
      <c r="K24" s="48" t="s">
        <v>2314</v>
      </c>
      <c r="L24" s="48" t="s">
        <v>2312</v>
      </c>
      <c r="M24" s="21" t="str">
        <f t="shared" si="1"/>
        <v>[f,f,p]</v>
      </c>
      <c r="N24" s="48" t="s">
        <v>2512</v>
      </c>
      <c r="O24" s="116">
        <v>115</v>
      </c>
      <c r="P24" s="117"/>
      <c r="Q24" s="116"/>
    </row>
    <row r="25" spans="1:17" ht="42.75" customHeight="1">
      <c r="A25" s="48" t="s">
        <v>2527</v>
      </c>
      <c r="B25" s="48" t="s">
        <v>2530</v>
      </c>
      <c r="C25" s="48" t="s">
        <v>2531</v>
      </c>
      <c r="D25" s="48" t="s">
        <v>2350</v>
      </c>
      <c r="E25" s="21" t="s">
        <v>2471</v>
      </c>
      <c r="F25" s="48" t="s">
        <v>2313</v>
      </c>
      <c r="G25" s="48" t="s">
        <v>2313</v>
      </c>
      <c r="H25" s="48" t="s">
        <v>2313</v>
      </c>
      <c r="I25" s="21" t="str">
        <f t="shared" si="0"/>
        <v>[n,n,n]</v>
      </c>
      <c r="J25" s="48" t="s">
        <v>2312</v>
      </c>
      <c r="K25" s="48" t="s">
        <v>2313</v>
      </c>
      <c r="L25" s="48" t="s">
        <v>2313</v>
      </c>
      <c r="M25" s="21" t="str">
        <f t="shared" si="1"/>
        <v>[p,n,n]</v>
      </c>
      <c r="N25" s="48" t="s">
        <v>2532</v>
      </c>
      <c r="O25" s="116">
        <v>118</v>
      </c>
      <c r="P25" s="116"/>
      <c r="Q25" s="116"/>
    </row>
    <row r="26" spans="1:17" ht="42.75" customHeight="1">
      <c r="A26" s="48" t="s">
        <v>2527</v>
      </c>
      <c r="B26" s="48" t="s">
        <v>2533</v>
      </c>
      <c r="C26" s="48" t="s">
        <v>2534</v>
      </c>
      <c r="D26" s="48" t="s">
        <v>2322</v>
      </c>
      <c r="E26" s="21" t="s">
        <v>2471</v>
      </c>
      <c r="F26" s="48" t="s">
        <v>2313</v>
      </c>
      <c r="G26" s="48" t="s">
        <v>2313</v>
      </c>
      <c r="H26" s="48" t="s">
        <v>2313</v>
      </c>
      <c r="I26" s="21" t="str">
        <f t="shared" si="0"/>
        <v>[n,n,n]</v>
      </c>
      <c r="J26" s="48" t="s">
        <v>2312</v>
      </c>
      <c r="K26" s="48" t="s">
        <v>2313</v>
      </c>
      <c r="L26" s="48" t="s">
        <v>2313</v>
      </c>
      <c r="M26" s="21" t="str">
        <f t="shared" si="1"/>
        <v>[p,n,n]</v>
      </c>
      <c r="N26" s="48">
        <v>722</v>
      </c>
      <c r="O26" s="116" t="s">
        <v>2794</v>
      </c>
      <c r="P26" s="116">
        <v>272</v>
      </c>
      <c r="Q26" s="116"/>
    </row>
    <row r="27" spans="1:17" ht="42.75" customHeight="1">
      <c r="A27" s="48" t="s">
        <v>2527</v>
      </c>
      <c r="B27" s="48" t="s">
        <v>2535</v>
      </c>
      <c r="C27" s="48" t="s">
        <v>2536</v>
      </c>
      <c r="D27" s="48" t="s">
        <v>2330</v>
      </c>
      <c r="E27" s="21" t="s">
        <v>2471</v>
      </c>
      <c r="F27" s="48" t="s">
        <v>2313</v>
      </c>
      <c r="G27" s="48" t="s">
        <v>2313</v>
      </c>
      <c r="H27" s="48" t="s">
        <v>2313</v>
      </c>
      <c r="I27" s="21" t="str">
        <f t="shared" si="0"/>
        <v>[n,n,n]</v>
      </c>
      <c r="J27" s="48" t="s">
        <v>2313</v>
      </c>
      <c r="K27" s="48" t="s">
        <v>2313</v>
      </c>
      <c r="L27" s="48" t="s">
        <v>2312</v>
      </c>
      <c r="M27" s="21" t="str">
        <f t="shared" si="1"/>
        <v>[n,n,p]</v>
      </c>
      <c r="N27" s="48">
        <v>722</v>
      </c>
      <c r="O27" s="116">
        <v>125</v>
      </c>
      <c r="P27" s="117"/>
      <c r="Q27" s="116"/>
    </row>
    <row r="28" spans="1:17" ht="42.75" customHeight="1">
      <c r="A28" s="48" t="s">
        <v>2527</v>
      </c>
      <c r="B28" s="48" t="s">
        <v>2537</v>
      </c>
      <c r="C28" s="48" t="s">
        <v>2538</v>
      </c>
      <c r="D28" s="48" t="s">
        <v>2350</v>
      </c>
      <c r="E28" s="21" t="s">
        <v>2471</v>
      </c>
      <c r="F28" s="48" t="s">
        <v>2313</v>
      </c>
      <c r="G28" s="48" t="s">
        <v>2313</v>
      </c>
      <c r="H28" s="48" t="s">
        <v>2313</v>
      </c>
      <c r="I28" s="21" t="str">
        <f t="shared" si="0"/>
        <v>[n,n,n]</v>
      </c>
      <c r="J28" s="48" t="s">
        <v>2312</v>
      </c>
      <c r="K28" s="48" t="s">
        <v>2312</v>
      </c>
      <c r="L28" s="48" t="s">
        <v>2313</v>
      </c>
      <c r="M28" s="21" t="str">
        <f t="shared" si="1"/>
        <v>[p,p,n]</v>
      </c>
      <c r="N28" s="48" t="s">
        <v>2539</v>
      </c>
      <c r="O28" s="117">
        <v>157</v>
      </c>
      <c r="P28" s="117">
        <v>118</v>
      </c>
      <c r="Q28" s="116"/>
    </row>
    <row r="29" spans="1:17" ht="42.75" customHeight="1">
      <c r="A29" s="48" t="s">
        <v>2527</v>
      </c>
      <c r="B29" s="48" t="s">
        <v>2540</v>
      </c>
      <c r="C29" s="48" t="s">
        <v>2541</v>
      </c>
      <c r="D29" s="48" t="s">
        <v>2318</v>
      </c>
      <c r="E29" s="21" t="s">
        <v>2471</v>
      </c>
      <c r="F29" s="48" t="s">
        <v>2313</v>
      </c>
      <c r="G29" s="48" t="s">
        <v>2313</v>
      </c>
      <c r="H29" s="48" t="s">
        <v>2313</v>
      </c>
      <c r="I29" s="21" t="str">
        <f t="shared" si="0"/>
        <v>[n,n,n]</v>
      </c>
      <c r="J29" s="48" t="s">
        <v>2313</v>
      </c>
      <c r="K29" s="48" t="s">
        <v>2312</v>
      </c>
      <c r="L29" s="48" t="s">
        <v>2313</v>
      </c>
      <c r="M29" s="21" t="str">
        <f t="shared" si="1"/>
        <v>[n,p,n]</v>
      </c>
      <c r="N29" s="48" t="s">
        <v>2542</v>
      </c>
      <c r="O29" s="117">
        <v>117</v>
      </c>
      <c r="P29" s="117"/>
      <c r="Q29" s="116"/>
    </row>
    <row r="30" spans="1:17" ht="42.75" customHeight="1">
      <c r="A30" s="48" t="s">
        <v>2527</v>
      </c>
      <c r="B30" s="48" t="s">
        <v>2543</v>
      </c>
      <c r="C30" s="48" t="s">
        <v>2544</v>
      </c>
      <c r="D30" s="48" t="s">
        <v>2334</v>
      </c>
      <c r="E30" s="21" t="s">
        <v>2471</v>
      </c>
      <c r="F30" s="48" t="s">
        <v>2313</v>
      </c>
      <c r="G30" s="48" t="s">
        <v>2313</v>
      </c>
      <c r="H30" s="48" t="s">
        <v>2313</v>
      </c>
      <c r="I30" s="21" t="str">
        <f t="shared" si="0"/>
        <v>[n,n,n]</v>
      </c>
      <c r="J30" s="48" t="s">
        <v>2313</v>
      </c>
      <c r="K30" s="48" t="s">
        <v>2313</v>
      </c>
      <c r="L30" s="48" t="s">
        <v>2312</v>
      </c>
      <c r="M30" s="21" t="str">
        <f t="shared" si="1"/>
        <v>[n,n,p]</v>
      </c>
      <c r="N30" s="48">
        <v>882</v>
      </c>
      <c r="O30" s="117">
        <v>151</v>
      </c>
      <c r="P30" s="116">
        <v>272</v>
      </c>
      <c r="Q30" s="116"/>
    </row>
    <row r="31" spans="1:17" ht="42.75" customHeight="1">
      <c r="A31" s="48" t="s">
        <v>2527</v>
      </c>
      <c r="B31" s="48" t="s">
        <v>2545</v>
      </c>
      <c r="C31" s="48" t="s">
        <v>2546</v>
      </c>
      <c r="D31" s="48" t="s">
        <v>2547</v>
      </c>
      <c r="E31" s="21" t="s">
        <v>2471</v>
      </c>
      <c r="F31" s="48" t="s">
        <v>2313</v>
      </c>
      <c r="G31" s="48" t="s">
        <v>2313</v>
      </c>
      <c r="H31" s="48" t="s">
        <v>2313</v>
      </c>
      <c r="I31" s="21" t="str">
        <f t="shared" si="0"/>
        <v>[n,n,n]</v>
      </c>
      <c r="J31" s="48" t="s">
        <v>2312</v>
      </c>
      <c r="K31" s="48" t="s">
        <v>2312</v>
      </c>
      <c r="L31" s="48" t="s">
        <v>2313</v>
      </c>
      <c r="M31" s="21" t="str">
        <f t="shared" si="1"/>
        <v>[p,p,n]</v>
      </c>
      <c r="N31" s="48">
        <v>882</v>
      </c>
      <c r="O31" s="117">
        <v>151</v>
      </c>
      <c r="P31" s="117"/>
      <c r="Q31" s="116"/>
    </row>
    <row r="32" spans="1:17" ht="49.5" customHeight="1">
      <c r="A32" s="48" t="s">
        <v>2548</v>
      </c>
      <c r="B32" s="50" t="s">
        <v>2549</v>
      </c>
      <c r="C32" s="50" t="s">
        <v>2550</v>
      </c>
      <c r="D32" s="50" t="s">
        <v>2350</v>
      </c>
      <c r="E32" s="21" t="s">
        <v>2471</v>
      </c>
      <c r="F32" s="48" t="s">
        <v>2313</v>
      </c>
      <c r="G32" s="48" t="s">
        <v>2313</v>
      </c>
      <c r="H32" s="48" t="s">
        <v>2313</v>
      </c>
      <c r="I32" s="21" t="str">
        <f t="shared" si="0"/>
        <v>[n,n,n]</v>
      </c>
      <c r="J32" s="48" t="s">
        <v>2312</v>
      </c>
      <c r="K32" s="48" t="s">
        <v>2313</v>
      </c>
      <c r="L32" s="48" t="s">
        <v>2313</v>
      </c>
      <c r="M32" s="21" t="str">
        <f t="shared" si="1"/>
        <v>[p,n,n]</v>
      </c>
      <c r="N32" s="48">
        <v>450</v>
      </c>
      <c r="O32" s="117">
        <v>118</v>
      </c>
      <c r="P32" s="117">
        <v>117</v>
      </c>
      <c r="Q32" s="116"/>
    </row>
    <row r="33" spans="1:17" ht="55.5" customHeight="1">
      <c r="A33" s="48" t="s">
        <v>2551</v>
      </c>
      <c r="B33" s="50" t="s">
        <v>2552</v>
      </c>
      <c r="C33" s="50" t="s">
        <v>2553</v>
      </c>
      <c r="D33" s="50" t="s">
        <v>2330</v>
      </c>
      <c r="E33" s="21" t="s">
        <v>2471</v>
      </c>
      <c r="F33" s="48" t="s">
        <v>2313</v>
      </c>
      <c r="G33" s="48" t="s">
        <v>2313</v>
      </c>
      <c r="H33" s="48" t="s">
        <v>2312</v>
      </c>
      <c r="I33" s="21" t="str">
        <f t="shared" si="0"/>
        <v>[n,n,p]</v>
      </c>
      <c r="J33" s="48" t="s">
        <v>2313</v>
      </c>
      <c r="K33" s="48" t="s">
        <v>2313</v>
      </c>
      <c r="L33" s="48" t="s">
        <v>2314</v>
      </c>
      <c r="M33" s="21" t="str">
        <f t="shared" si="1"/>
        <v>[n,n,f]</v>
      </c>
      <c r="N33" s="48">
        <v>448</v>
      </c>
      <c r="O33" s="46"/>
    </row>
    <row r="34" spans="1:17" ht="55.5" customHeight="1">
      <c r="A34" s="48" t="s">
        <v>2554</v>
      </c>
      <c r="B34" s="50" t="s">
        <v>2555</v>
      </c>
      <c r="C34" s="50" t="s">
        <v>2556</v>
      </c>
      <c r="D34" s="50" t="s">
        <v>2326</v>
      </c>
      <c r="E34" s="21" t="s">
        <v>2471</v>
      </c>
      <c r="F34" s="48" t="s">
        <v>2312</v>
      </c>
      <c r="G34" s="48" t="s">
        <v>2313</v>
      </c>
      <c r="H34" s="48" t="s">
        <v>2313</v>
      </c>
      <c r="I34" s="21" t="str">
        <f t="shared" si="0"/>
        <v>[p,n,n]</v>
      </c>
      <c r="J34" s="48" t="s">
        <v>2314</v>
      </c>
      <c r="K34" s="48" t="s">
        <v>2312</v>
      </c>
      <c r="L34" s="48" t="s">
        <v>2313</v>
      </c>
      <c r="M34" s="21" t="str">
        <f t="shared" si="1"/>
        <v>[f,p,n]</v>
      </c>
      <c r="N34" s="48">
        <v>813</v>
      </c>
      <c r="O34" s="118">
        <v>94</v>
      </c>
      <c r="P34" s="119"/>
      <c r="Q34" s="119"/>
    </row>
    <row r="35" spans="1:17" ht="55.5" customHeight="1">
      <c r="A35" s="48" t="s">
        <v>2554</v>
      </c>
      <c r="B35" s="50" t="s">
        <v>2557</v>
      </c>
      <c r="C35" s="50" t="s">
        <v>2558</v>
      </c>
      <c r="D35" s="50" t="s">
        <v>2386</v>
      </c>
      <c r="E35" s="21" t="s">
        <v>2471</v>
      </c>
      <c r="F35" s="48" t="s">
        <v>2312</v>
      </c>
      <c r="G35" s="48" t="s">
        <v>2313</v>
      </c>
      <c r="H35" s="48" t="s">
        <v>2313</v>
      </c>
      <c r="I35" s="21" t="str">
        <f t="shared" si="0"/>
        <v>[p,n,n]</v>
      </c>
      <c r="J35" s="48" t="s">
        <v>2312</v>
      </c>
      <c r="K35" s="48" t="s">
        <v>2313</v>
      </c>
      <c r="L35" s="48" t="s">
        <v>2313</v>
      </c>
      <c r="M35" s="21" t="str">
        <f t="shared" si="1"/>
        <v>[p,n,n]</v>
      </c>
      <c r="N35" s="48">
        <v>813</v>
      </c>
      <c r="O35" s="120">
        <v>151</v>
      </c>
      <c r="P35" s="121">
        <v>294</v>
      </c>
      <c r="Q35" s="121"/>
    </row>
    <row r="36" spans="1:17" ht="53.25" customHeight="1">
      <c r="A36" s="48" t="s">
        <v>2551</v>
      </c>
      <c r="B36" s="48" t="s">
        <v>2559</v>
      </c>
      <c r="C36" s="48" t="s">
        <v>2560</v>
      </c>
      <c r="D36" s="52" t="s">
        <v>2561</v>
      </c>
      <c r="E36" s="21" t="s">
        <v>2471</v>
      </c>
      <c r="F36" s="48" t="s">
        <v>2313</v>
      </c>
      <c r="G36" s="48" t="s">
        <v>2313</v>
      </c>
      <c r="H36" s="48" t="s">
        <v>2313</v>
      </c>
      <c r="I36" s="21" t="str">
        <f t="shared" si="0"/>
        <v>[n,n,n]</v>
      </c>
      <c r="J36" s="48" t="s">
        <v>2313</v>
      </c>
      <c r="K36" s="48" t="s">
        <v>2314</v>
      </c>
      <c r="L36" s="48" t="s">
        <v>2312</v>
      </c>
      <c r="M36" s="21" t="str">
        <f t="shared" si="1"/>
        <v>[n,f,p]</v>
      </c>
      <c r="N36" s="48">
        <v>491.20299999999997</v>
      </c>
      <c r="O36" s="120" t="s">
        <v>2795</v>
      </c>
      <c r="P36" s="121">
        <v>272</v>
      </c>
      <c r="Q36" s="121"/>
    </row>
    <row r="37" spans="1:17" ht="43.5" customHeight="1">
      <c r="A37" s="83" t="s">
        <v>2562</v>
      </c>
      <c r="B37" s="83" t="s">
        <v>2555</v>
      </c>
      <c r="C37" s="83" t="s">
        <v>2563</v>
      </c>
      <c r="D37" s="83" t="s">
        <v>2564</v>
      </c>
      <c r="E37" s="83" t="s">
        <v>2471</v>
      </c>
      <c r="F37" s="83" t="s">
        <v>2312</v>
      </c>
      <c r="G37" s="83" t="s">
        <v>2313</v>
      </c>
      <c r="H37" s="83" t="s">
        <v>2313</v>
      </c>
      <c r="I37" s="21" t="str">
        <f t="shared" si="0"/>
        <v>[p,n,n]</v>
      </c>
      <c r="J37" s="83" t="s">
        <v>2314</v>
      </c>
      <c r="K37" s="83" t="s">
        <v>2314</v>
      </c>
      <c r="L37" s="83" t="s">
        <v>2313</v>
      </c>
      <c r="M37" s="21" t="str">
        <f t="shared" si="1"/>
        <v>[f,f,n]</v>
      </c>
      <c r="N37" s="48" t="s">
        <v>2565</v>
      </c>
      <c r="O37" s="120">
        <v>94</v>
      </c>
      <c r="P37" s="121"/>
      <c r="Q37" s="121"/>
    </row>
    <row r="38" spans="1:17" ht="38.25" customHeight="1">
      <c r="A38" s="48" t="s">
        <v>2562</v>
      </c>
      <c r="B38" s="48" t="s">
        <v>2566</v>
      </c>
      <c r="C38" s="48" t="s">
        <v>2567</v>
      </c>
      <c r="D38" s="48" t="s">
        <v>2318</v>
      </c>
      <c r="E38" s="48" t="s">
        <v>2522</v>
      </c>
      <c r="F38" s="48" t="s">
        <v>2313</v>
      </c>
      <c r="G38" s="48" t="s">
        <v>2313</v>
      </c>
      <c r="H38" s="48" t="s">
        <v>2313</v>
      </c>
      <c r="I38" s="21" t="str">
        <f t="shared" si="0"/>
        <v>[n,n,n]</v>
      </c>
      <c r="J38" s="48" t="s">
        <v>2312</v>
      </c>
      <c r="K38" s="48" t="s">
        <v>2312</v>
      </c>
      <c r="L38" s="48" t="s">
        <v>2313</v>
      </c>
      <c r="M38" s="21" t="str">
        <f t="shared" si="1"/>
        <v>[p,p,n]</v>
      </c>
      <c r="N38" s="48">
        <v>707.23800000000006</v>
      </c>
      <c r="O38" s="120">
        <v>151</v>
      </c>
      <c r="P38" s="121">
        <v>272</v>
      </c>
      <c r="Q38" s="121"/>
    </row>
    <row r="39" spans="1:17" ht="34.5" customHeight="1">
      <c r="A39" s="48" t="s">
        <v>2562</v>
      </c>
      <c r="B39" s="48" t="s">
        <v>2568</v>
      </c>
      <c r="C39" s="48" t="s">
        <v>2569</v>
      </c>
      <c r="D39" s="48" t="s">
        <v>2318</v>
      </c>
      <c r="E39" s="48" t="s">
        <v>2522</v>
      </c>
      <c r="F39" s="48" t="s">
        <v>2313</v>
      </c>
      <c r="G39" s="48" t="s">
        <v>2313</v>
      </c>
      <c r="H39" s="48" t="s">
        <v>2313</v>
      </c>
      <c r="I39" s="21" t="str">
        <f t="shared" si="0"/>
        <v>[n,n,n]</v>
      </c>
      <c r="J39" s="48" t="s">
        <v>2313</v>
      </c>
      <c r="K39" s="48" t="s">
        <v>2314</v>
      </c>
      <c r="L39" s="48" t="s">
        <v>2314</v>
      </c>
      <c r="M39" s="21" t="str">
        <f t="shared" si="1"/>
        <v>[n,f,f]</v>
      </c>
      <c r="N39" s="48">
        <v>707.23800000000006</v>
      </c>
      <c r="O39" s="120">
        <v>151</v>
      </c>
      <c r="P39" s="121">
        <v>272</v>
      </c>
      <c r="Q39" s="121"/>
    </row>
    <row r="40" spans="1:17" ht="15.75" customHeight="1">
      <c r="A40" s="48" t="s">
        <v>2562</v>
      </c>
      <c r="B40" s="48" t="s">
        <v>2570</v>
      </c>
      <c r="C40" s="48" t="s">
        <v>2571</v>
      </c>
      <c r="D40" s="48" t="s">
        <v>2359</v>
      </c>
      <c r="E40" s="21" t="s">
        <v>2471</v>
      </c>
      <c r="F40" s="48" t="s">
        <v>2313</v>
      </c>
      <c r="G40" s="48" t="s">
        <v>2313</v>
      </c>
      <c r="H40" s="48" t="s">
        <v>2313</v>
      </c>
      <c r="I40" s="21" t="str">
        <f t="shared" si="0"/>
        <v>[n,n,n]</v>
      </c>
      <c r="J40" s="48" t="s">
        <v>2314</v>
      </c>
      <c r="K40" s="48" t="s">
        <v>2314</v>
      </c>
      <c r="L40" s="48" t="s">
        <v>2313</v>
      </c>
      <c r="M40" s="21" t="str">
        <f t="shared" si="1"/>
        <v>[f,f,n]</v>
      </c>
      <c r="N40" s="48">
        <v>707.23800000000006</v>
      </c>
      <c r="O40" s="120">
        <v>115</v>
      </c>
      <c r="P40" s="121"/>
      <c r="Q40" s="121"/>
    </row>
    <row r="41" spans="1:17" ht="15.75" customHeight="1">
      <c r="A41" s="48" t="s">
        <v>2572</v>
      </c>
      <c r="B41" s="48" t="s">
        <v>2573</v>
      </c>
      <c r="C41" s="48" t="s">
        <v>2574</v>
      </c>
      <c r="D41" s="48" t="s">
        <v>2330</v>
      </c>
      <c r="E41" s="21" t="s">
        <v>2471</v>
      </c>
      <c r="F41" s="48" t="s">
        <v>2313</v>
      </c>
      <c r="G41" s="48" t="s">
        <v>2313</v>
      </c>
      <c r="H41" s="48" t="s">
        <v>2313</v>
      </c>
      <c r="I41" s="21" t="str">
        <f t="shared" si="0"/>
        <v>[n,n,n]</v>
      </c>
      <c r="J41" s="48" t="s">
        <v>2313</v>
      </c>
      <c r="K41" s="48" t="s">
        <v>2313</v>
      </c>
      <c r="L41" s="48" t="s">
        <v>2312</v>
      </c>
      <c r="M41" s="21" t="str">
        <f t="shared" si="1"/>
        <v>[n,n,p]</v>
      </c>
      <c r="N41" s="48">
        <v>238</v>
      </c>
      <c r="O41" s="120">
        <v>125</v>
      </c>
      <c r="P41" s="121"/>
      <c r="Q41" s="121"/>
    </row>
    <row r="42" spans="1:17" ht="42.75" customHeight="1">
      <c r="A42" s="48" t="s">
        <v>2575</v>
      </c>
      <c r="B42" s="48" t="s">
        <v>2473</v>
      </c>
      <c r="C42" s="48" t="s">
        <v>2576</v>
      </c>
      <c r="D42" s="48" t="s">
        <v>2330</v>
      </c>
      <c r="E42" s="48" t="s">
        <v>2475</v>
      </c>
      <c r="F42" s="48" t="s">
        <v>2313</v>
      </c>
      <c r="G42" s="48" t="s">
        <v>2313</v>
      </c>
      <c r="H42" s="48" t="s">
        <v>2313</v>
      </c>
      <c r="I42" s="21" t="str">
        <f t="shared" si="0"/>
        <v>[n,n,n]</v>
      </c>
      <c r="J42" s="48" t="s">
        <v>2313</v>
      </c>
      <c r="K42" s="48" t="s">
        <v>2313</v>
      </c>
      <c r="L42" s="48" t="s">
        <v>2312</v>
      </c>
      <c r="M42" s="21" t="str">
        <f t="shared" si="1"/>
        <v>[n,n,p]</v>
      </c>
      <c r="N42" s="48">
        <v>119</v>
      </c>
      <c r="O42" s="120">
        <v>125</v>
      </c>
      <c r="P42" s="121">
        <v>488</v>
      </c>
      <c r="Q42" s="121"/>
    </row>
    <row r="43" spans="1:17" ht="42.75" customHeight="1">
      <c r="A43" s="48" t="s">
        <v>2575</v>
      </c>
      <c r="B43" s="48" t="s">
        <v>2577</v>
      </c>
      <c r="C43" s="48" t="s">
        <v>2578</v>
      </c>
      <c r="D43" s="48" t="s">
        <v>2326</v>
      </c>
      <c r="E43" s="21" t="s">
        <v>2471</v>
      </c>
      <c r="F43" s="48" t="s">
        <v>2313</v>
      </c>
      <c r="G43" s="48" t="s">
        <v>2313</v>
      </c>
      <c r="H43" s="48" t="s">
        <v>2313</v>
      </c>
      <c r="I43" s="21" t="str">
        <f t="shared" si="0"/>
        <v>[n,n,n]</v>
      </c>
      <c r="J43" s="48" t="s">
        <v>2312</v>
      </c>
      <c r="K43" s="48" t="s">
        <v>2312</v>
      </c>
      <c r="L43" s="48" t="s">
        <v>2313</v>
      </c>
      <c r="M43" s="21" t="str">
        <f t="shared" si="1"/>
        <v>[p,p,n]</v>
      </c>
      <c r="N43" s="48">
        <v>268</v>
      </c>
      <c r="O43" s="120">
        <v>94</v>
      </c>
      <c r="P43" s="121"/>
      <c r="Q43" s="121"/>
    </row>
    <row r="44" spans="1:17" ht="15.75" customHeight="1">
      <c r="A44" s="48" t="s">
        <v>2575</v>
      </c>
      <c r="B44" s="48" t="s">
        <v>2479</v>
      </c>
      <c r="C44" s="48" t="s">
        <v>2579</v>
      </c>
      <c r="D44" s="48" t="s">
        <v>2326</v>
      </c>
      <c r="E44" s="48" t="s">
        <v>2475</v>
      </c>
      <c r="F44" s="48" t="s">
        <v>2313</v>
      </c>
      <c r="G44" s="48" t="s">
        <v>2313</v>
      </c>
      <c r="H44" s="48" t="s">
        <v>2313</v>
      </c>
      <c r="I44" s="21" t="str">
        <f t="shared" si="0"/>
        <v>[n,n,n]</v>
      </c>
      <c r="J44" s="48" t="s">
        <v>2312</v>
      </c>
      <c r="K44" s="48" t="s">
        <v>2313</v>
      </c>
      <c r="L44" s="48" t="s">
        <v>2313</v>
      </c>
      <c r="M44" s="21" t="str">
        <f t="shared" si="1"/>
        <v>[p,n,n]</v>
      </c>
      <c r="N44" s="48">
        <v>119.268</v>
      </c>
      <c r="O44" s="120">
        <v>115</v>
      </c>
      <c r="P44" s="121">
        <v>203</v>
      </c>
      <c r="Q44" s="121"/>
    </row>
    <row r="45" spans="1:17" ht="15.75" customHeight="1">
      <c r="A45" s="83" t="s">
        <v>2580</v>
      </c>
      <c r="B45" s="83" t="s">
        <v>2581</v>
      </c>
      <c r="C45" s="48" t="s">
        <v>2582</v>
      </c>
      <c r="D45" s="48" t="s">
        <v>2386</v>
      </c>
      <c r="E45" s="21" t="s">
        <v>2471</v>
      </c>
      <c r="F45" s="48" t="s">
        <v>2313</v>
      </c>
      <c r="G45" s="48" t="s">
        <v>2313</v>
      </c>
      <c r="H45" s="48" t="s">
        <v>2313</v>
      </c>
      <c r="I45" s="21" t="str">
        <f t="shared" si="0"/>
        <v>[n,n,n]</v>
      </c>
      <c r="J45" s="48" t="s">
        <v>2312</v>
      </c>
      <c r="K45" s="48" t="s">
        <v>2313</v>
      </c>
      <c r="L45" s="48" t="s">
        <v>2313</v>
      </c>
      <c r="M45" s="21" t="str">
        <f t="shared" si="1"/>
        <v>[p,n,n]</v>
      </c>
      <c r="N45" s="48">
        <v>172</v>
      </c>
      <c r="O45" s="120" t="s">
        <v>2791</v>
      </c>
      <c r="P45" s="121">
        <v>117</v>
      </c>
      <c r="Q45" s="121"/>
    </row>
    <row r="46" spans="1:17" ht="15.75" customHeight="1">
      <c r="A46" s="83" t="s">
        <v>2580</v>
      </c>
      <c r="B46" s="83" t="s">
        <v>2473</v>
      </c>
      <c r="C46" s="48" t="s">
        <v>2583</v>
      </c>
      <c r="D46" s="48" t="s">
        <v>2330</v>
      </c>
      <c r="E46" s="48" t="s">
        <v>2475</v>
      </c>
      <c r="F46" s="48" t="s">
        <v>2313</v>
      </c>
      <c r="G46" s="48" t="s">
        <v>2313</v>
      </c>
      <c r="H46" s="48" t="s">
        <v>2313</v>
      </c>
      <c r="I46" s="21" t="str">
        <f t="shared" si="0"/>
        <v>[n,n,n]</v>
      </c>
      <c r="J46" s="48" t="s">
        <v>2313</v>
      </c>
      <c r="K46" s="48" t="s">
        <v>2313</v>
      </c>
      <c r="L46" s="48" t="s">
        <v>2312</v>
      </c>
      <c r="M46" s="21" t="str">
        <f t="shared" si="1"/>
        <v>[n,n,p]</v>
      </c>
      <c r="N46" s="48">
        <v>172</v>
      </c>
      <c r="O46" s="120">
        <v>125</v>
      </c>
      <c r="P46" s="121">
        <v>488</v>
      </c>
      <c r="Q46" s="121"/>
    </row>
    <row r="47" spans="1:17" ht="15.75" customHeight="1">
      <c r="A47" s="83" t="s">
        <v>2580</v>
      </c>
      <c r="B47" s="83" t="s">
        <v>2584</v>
      </c>
      <c r="C47" s="48" t="s">
        <v>2585</v>
      </c>
      <c r="D47" s="48" t="s">
        <v>2547</v>
      </c>
      <c r="E47" s="21" t="s">
        <v>2471</v>
      </c>
      <c r="F47" s="48" t="s">
        <v>2313</v>
      </c>
      <c r="G47" s="48" t="s">
        <v>2313</v>
      </c>
      <c r="H47" s="48" t="s">
        <v>2313</v>
      </c>
      <c r="I47" s="21" t="str">
        <f t="shared" si="0"/>
        <v>[n,n,n]</v>
      </c>
      <c r="J47" s="48" t="s">
        <v>2312</v>
      </c>
      <c r="K47" s="48" t="s">
        <v>2312</v>
      </c>
      <c r="L47" s="48" t="s">
        <v>2313</v>
      </c>
      <c r="M47" s="21" t="str">
        <f t="shared" si="1"/>
        <v>[p,p,n]</v>
      </c>
      <c r="N47" s="48">
        <v>172</v>
      </c>
      <c r="O47" s="120" t="s">
        <v>2795</v>
      </c>
      <c r="P47" s="121">
        <v>272</v>
      </c>
      <c r="Q47" s="121"/>
    </row>
    <row r="48" spans="1:17" ht="15.75" customHeight="1">
      <c r="A48" s="83" t="s">
        <v>2580</v>
      </c>
      <c r="B48" s="83" t="s">
        <v>2586</v>
      </c>
      <c r="C48" s="48" t="s">
        <v>2587</v>
      </c>
      <c r="D48" s="48" t="s">
        <v>2344</v>
      </c>
      <c r="E48" s="21" t="s">
        <v>2471</v>
      </c>
      <c r="F48" s="48" t="s">
        <v>2313</v>
      </c>
      <c r="G48" s="48" t="s">
        <v>2313</v>
      </c>
      <c r="H48" s="48" t="s">
        <v>2313</v>
      </c>
      <c r="I48" s="21" t="str">
        <f t="shared" si="0"/>
        <v>[n,n,n]</v>
      </c>
      <c r="J48" s="48" t="s">
        <v>2313</v>
      </c>
      <c r="K48" s="48" t="s">
        <v>2312</v>
      </c>
      <c r="L48" s="48" t="s">
        <v>2313</v>
      </c>
      <c r="M48" s="21" t="str">
        <f t="shared" si="1"/>
        <v>[n,p,n]</v>
      </c>
      <c r="N48" s="48">
        <v>172</v>
      </c>
      <c r="O48" s="120">
        <v>151</v>
      </c>
      <c r="P48" s="121">
        <v>272</v>
      </c>
      <c r="Q48" s="121"/>
    </row>
    <row r="49" spans="1:14" ht="15.75" customHeight="1">
      <c r="A49" s="46"/>
      <c r="B49" s="46"/>
      <c r="C49" s="46"/>
      <c r="D49" s="46"/>
      <c r="E49" s="46"/>
      <c r="F49" s="46"/>
      <c r="G49" s="46"/>
      <c r="H49" s="46"/>
      <c r="I49" s="46"/>
      <c r="J49" s="46"/>
      <c r="K49" s="46"/>
      <c r="L49" s="46"/>
      <c r="M49" s="46"/>
      <c r="N49" s="46"/>
    </row>
    <row r="50" spans="1:14" ht="15.75" customHeight="1"/>
    <row r="51" spans="1:14" ht="15.75" customHeight="1"/>
    <row r="52" spans="1:14" ht="15.75" customHeight="1"/>
    <row r="53" spans="1:14" ht="15.75" customHeight="1"/>
    <row r="54" spans="1:14" ht="15.75" customHeight="1"/>
    <row r="55" spans="1:14" ht="15.75" customHeight="1"/>
    <row r="56" spans="1:14" ht="15.75" customHeight="1"/>
    <row r="57" spans="1:14" ht="15.75" customHeight="1"/>
    <row r="58" spans="1:14" ht="15.75" customHeight="1"/>
    <row r="59" spans="1:14" ht="15.75" customHeight="1"/>
    <row r="60" spans="1:14" ht="15.75" customHeight="1"/>
    <row r="61" spans="1:14" ht="15.75" customHeight="1"/>
    <row r="62" spans="1:14" ht="15.75" customHeight="1"/>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O1:Q1">
    <cfRule type="containsBlanks" dxfId="1" priority="2" stopIfTrue="1">
      <formula>LEN(TRIM(O1))=0</formula>
    </cfRule>
  </conditionalFormatting>
  <conditionalFormatting sqref="O2:Q2">
    <cfRule type="containsBlanks" dxfId="0" priority="1" stopIfTrue="1">
      <formula>LEN(TRIM(O2))=0</formula>
    </cfRule>
  </conditionalFormatting>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E78"/>
  <sheetViews>
    <sheetView workbookViewId="0"/>
  </sheetViews>
  <sheetFormatPr baseColWidth="10" defaultColWidth="14.5" defaultRowHeight="15" customHeight="1"/>
  <cols>
    <col min="1" max="1" width="15.6640625" customWidth="1"/>
    <col min="2" max="2" width="21" customWidth="1"/>
    <col min="3" max="3" width="112.6640625" customWidth="1"/>
    <col min="4" max="4" width="56.83203125" customWidth="1"/>
    <col min="5" max="5" width="27" bestFit="1" customWidth="1"/>
  </cols>
  <sheetData>
    <row r="1" spans="2:5">
      <c r="B1" s="5" t="s">
        <v>2588</v>
      </c>
      <c r="C1" s="5" t="s">
        <v>2291</v>
      </c>
    </row>
    <row r="2" spans="2:5" s="13" customFormat="1" ht="16">
      <c r="B2" s="18" t="s">
        <v>2444</v>
      </c>
      <c r="C2" s="18" t="s">
        <v>2589</v>
      </c>
      <c r="D2" s="13" t="s">
        <v>2590</v>
      </c>
      <c r="E2" s="13" t="s">
        <v>2591</v>
      </c>
    </row>
    <row r="3" spans="2:5" s="13" customFormat="1" ht="16">
      <c r="B3" s="18" t="s">
        <v>2422</v>
      </c>
      <c r="C3" s="18" t="s">
        <v>2592</v>
      </c>
    </row>
    <row r="4" spans="2:5" s="41" customFormat="1" ht="16">
      <c r="B4" s="44" t="s">
        <v>2593</v>
      </c>
      <c r="C4" s="44" t="s">
        <v>2594</v>
      </c>
      <c r="D4" s="43" t="s">
        <v>2595</v>
      </c>
    </row>
    <row r="5" spans="2:5" s="41" customFormat="1" ht="21.75" customHeight="1">
      <c r="B5" s="44" t="s">
        <v>2596</v>
      </c>
      <c r="C5" s="44" t="s">
        <v>2597</v>
      </c>
      <c r="D5" s="43" t="s">
        <v>2598</v>
      </c>
    </row>
    <row r="6" spans="2:5" s="13" customFormat="1" ht="16">
      <c r="B6" s="18" t="s">
        <v>2307</v>
      </c>
      <c r="C6" s="18" t="s">
        <v>2599</v>
      </c>
    </row>
    <row r="7" spans="2:5" s="13" customFormat="1" ht="16">
      <c r="B7" s="18" t="s">
        <v>2432</v>
      </c>
      <c r="C7" s="18" t="s">
        <v>2600</v>
      </c>
    </row>
    <row r="8" spans="2:5" s="13" customFormat="1" ht="16">
      <c r="B8" s="18" t="s">
        <v>2397</v>
      </c>
      <c r="C8" s="18" t="s">
        <v>2601</v>
      </c>
    </row>
    <row r="9" spans="2:5" s="13" customFormat="1" ht="16">
      <c r="B9" s="18" t="s">
        <v>2602</v>
      </c>
      <c r="C9" s="18" t="s">
        <v>2603</v>
      </c>
    </row>
    <row r="10" spans="2:5" s="13" customFormat="1" ht="16">
      <c r="B10" s="18" t="s">
        <v>2404</v>
      </c>
      <c r="C10" s="18" t="s">
        <v>2604</v>
      </c>
    </row>
    <row r="11" spans="2:5" s="13" customFormat="1" ht="16">
      <c r="B11" s="18" t="s">
        <v>2369</v>
      </c>
      <c r="C11" s="18" t="s">
        <v>2605</v>
      </c>
    </row>
    <row r="12" spans="2:5" s="17" customFormat="1" ht="16">
      <c r="B12" s="45" t="s">
        <v>2606</v>
      </c>
      <c r="C12" s="45" t="s">
        <v>2607</v>
      </c>
      <c r="D12" s="17" t="s">
        <v>2608</v>
      </c>
    </row>
    <row r="13" spans="2:5" s="17" customFormat="1" ht="16">
      <c r="B13" s="45" t="s">
        <v>2609</v>
      </c>
      <c r="C13" s="45" t="s">
        <v>2610</v>
      </c>
      <c r="D13" s="17" t="s">
        <v>2608</v>
      </c>
    </row>
    <row r="14" spans="2:5" s="17" customFormat="1" ht="16">
      <c r="B14" s="45" t="s">
        <v>2611</v>
      </c>
      <c r="C14" s="45" t="s">
        <v>2612</v>
      </c>
      <c r="D14" s="17" t="s">
        <v>2608</v>
      </c>
    </row>
    <row r="15" spans="2:5" s="17" customFormat="1" ht="16">
      <c r="B15" s="45" t="s">
        <v>2613</v>
      </c>
      <c r="C15" s="45" t="s">
        <v>2614</v>
      </c>
      <c r="D15" s="17" t="s">
        <v>2608</v>
      </c>
    </row>
    <row r="18" spans="2:3" ht="15" customHeight="1">
      <c r="B18" s="5" t="s">
        <v>2615</v>
      </c>
      <c r="C18" s="37"/>
    </row>
    <row r="19" spans="2:3" ht="15" customHeight="1">
      <c r="B19" s="35" t="s">
        <v>2616</v>
      </c>
      <c r="C19" s="33" t="s">
        <v>2617</v>
      </c>
    </row>
    <row r="20" spans="2:3" ht="15" customHeight="1">
      <c r="B20" s="36" t="s">
        <v>2618</v>
      </c>
      <c r="C20" s="34" t="s">
        <v>2619</v>
      </c>
    </row>
    <row r="21" spans="2:3" ht="15" customHeight="1">
      <c r="B21" s="35" t="s">
        <v>2620</v>
      </c>
      <c r="C21" s="33" t="s">
        <v>2621</v>
      </c>
    </row>
    <row r="22" spans="2:3" ht="15" customHeight="1">
      <c r="B22" s="36" t="s">
        <v>2622</v>
      </c>
      <c r="C22" s="34" t="s">
        <v>2623</v>
      </c>
    </row>
    <row r="23" spans="2:3" ht="15" customHeight="1">
      <c r="B23" s="35" t="s">
        <v>2624</v>
      </c>
      <c r="C23" s="33" t="s">
        <v>2625</v>
      </c>
    </row>
    <row r="24" spans="2:3" ht="15" customHeight="1">
      <c r="B24" s="36" t="s">
        <v>2626</v>
      </c>
      <c r="C24" s="34" t="s">
        <v>2627</v>
      </c>
    </row>
    <row r="25" spans="2:3" ht="15" customHeight="1">
      <c r="B25" s="35" t="s">
        <v>2628</v>
      </c>
      <c r="C25" s="33" t="s">
        <v>2629</v>
      </c>
    </row>
    <row r="26" spans="2:3" ht="15" customHeight="1">
      <c r="B26" s="36" t="s">
        <v>2630</v>
      </c>
      <c r="C26" s="34" t="s">
        <v>2631</v>
      </c>
    </row>
    <row r="27" spans="2:3" ht="15" customHeight="1">
      <c r="B27" s="35" t="s">
        <v>2632</v>
      </c>
      <c r="C27" s="33" t="s">
        <v>2633</v>
      </c>
    </row>
    <row r="28" spans="2:3" ht="15" customHeight="1">
      <c r="B28" s="36" t="s">
        <v>2634</v>
      </c>
      <c r="C28" s="34" t="s">
        <v>2635</v>
      </c>
    </row>
    <row r="29" spans="2:3" ht="15" customHeight="1">
      <c r="B29" s="35" t="s">
        <v>2636</v>
      </c>
      <c r="C29" s="33" t="s">
        <v>2637</v>
      </c>
    </row>
    <row r="30" spans="2:3" ht="15" customHeight="1">
      <c r="B30" s="36" t="s">
        <v>2638</v>
      </c>
      <c r="C30" s="34" t="s">
        <v>2639</v>
      </c>
    </row>
    <row r="31" spans="2:3" ht="15" customHeight="1">
      <c r="B31" s="35" t="s">
        <v>2640</v>
      </c>
      <c r="C31" s="33" t="s">
        <v>2641</v>
      </c>
    </row>
    <row r="32" spans="2:3" ht="15" customHeight="1">
      <c r="B32" s="36" t="s">
        <v>2642</v>
      </c>
      <c r="C32" s="34" t="s">
        <v>2643</v>
      </c>
    </row>
    <row r="33" spans="2:3" ht="15" customHeight="1">
      <c r="B33" s="35" t="s">
        <v>2644</v>
      </c>
      <c r="C33" s="33" t="s">
        <v>2645</v>
      </c>
    </row>
    <row r="34" spans="2:3" ht="15" customHeight="1">
      <c r="B34" s="36" t="s">
        <v>2646</v>
      </c>
      <c r="C34" s="34" t="s">
        <v>2647</v>
      </c>
    </row>
    <row r="35" spans="2:3" ht="15" customHeight="1">
      <c r="B35" s="35" t="s">
        <v>2648</v>
      </c>
      <c r="C35" s="33" t="s">
        <v>2649</v>
      </c>
    </row>
    <row r="36" spans="2:3" ht="15" customHeight="1">
      <c r="B36" s="36" t="s">
        <v>2650</v>
      </c>
      <c r="C36" s="34" t="s">
        <v>2651</v>
      </c>
    </row>
    <row r="37" spans="2:3" ht="15" customHeight="1">
      <c r="B37" s="35" t="s">
        <v>2652</v>
      </c>
      <c r="C37" s="33" t="s">
        <v>2653</v>
      </c>
    </row>
    <row r="38" spans="2:3" ht="15" customHeight="1">
      <c r="B38" s="36" t="s">
        <v>2654</v>
      </c>
      <c r="C38" s="34" t="s">
        <v>2655</v>
      </c>
    </row>
    <row r="39" spans="2:3" ht="15" customHeight="1">
      <c r="B39" s="35" t="s">
        <v>2656</v>
      </c>
      <c r="C39" s="33" t="s">
        <v>2657</v>
      </c>
    </row>
    <row r="40" spans="2:3" ht="15" customHeight="1">
      <c r="B40" s="36" t="s">
        <v>2658</v>
      </c>
      <c r="C40" s="34" t="s">
        <v>2659</v>
      </c>
    </row>
    <row r="41" spans="2:3" ht="15" customHeight="1">
      <c r="B41" s="35" t="s">
        <v>2660</v>
      </c>
      <c r="C41" s="33" t="s">
        <v>2661</v>
      </c>
    </row>
    <row r="42" spans="2:3" ht="15" customHeight="1">
      <c r="B42" s="36" t="s">
        <v>2662</v>
      </c>
      <c r="C42" s="34" t="s">
        <v>2663</v>
      </c>
    </row>
    <row r="43" spans="2:3" ht="15" customHeight="1">
      <c r="B43" s="35" t="s">
        <v>2664</v>
      </c>
      <c r="C43" s="33" t="s">
        <v>2665</v>
      </c>
    </row>
    <row r="44" spans="2:3" ht="15" customHeight="1">
      <c r="B44" s="36" t="s">
        <v>2666</v>
      </c>
      <c r="C44" s="34" t="s">
        <v>2667</v>
      </c>
    </row>
    <row r="45" spans="2:3" ht="15" customHeight="1">
      <c r="B45" s="35" t="s">
        <v>2668</v>
      </c>
      <c r="C45" s="33" t="s">
        <v>2669</v>
      </c>
    </row>
    <row r="46" spans="2:3" ht="15" customHeight="1">
      <c r="B46" s="36" t="s">
        <v>2670</v>
      </c>
      <c r="C46" s="34" t="s">
        <v>2671</v>
      </c>
    </row>
    <row r="47" spans="2:3" ht="15" customHeight="1">
      <c r="B47" s="35" t="s">
        <v>2672</v>
      </c>
      <c r="C47" s="33" t="s">
        <v>2673</v>
      </c>
    </row>
    <row r="48" spans="2:3" ht="15" customHeight="1">
      <c r="B48" s="36" t="s">
        <v>2674</v>
      </c>
      <c r="C48" s="34" t="s">
        <v>2675</v>
      </c>
    </row>
    <row r="49" spans="2:3" ht="15" customHeight="1">
      <c r="B49" s="35" t="s">
        <v>2676</v>
      </c>
      <c r="C49" s="33" t="s">
        <v>2677</v>
      </c>
    </row>
    <row r="50" spans="2:3" ht="15" customHeight="1">
      <c r="B50" s="36" t="s">
        <v>2678</v>
      </c>
      <c r="C50" s="34" t="s">
        <v>2679</v>
      </c>
    </row>
    <row r="51" spans="2:3" ht="15" customHeight="1">
      <c r="B51" s="35" t="s">
        <v>2680</v>
      </c>
      <c r="C51" s="33" t="s">
        <v>2681</v>
      </c>
    </row>
    <row r="52" spans="2:3" ht="15" customHeight="1">
      <c r="B52" s="36" t="s">
        <v>2682</v>
      </c>
      <c r="C52" s="34" t="s">
        <v>2683</v>
      </c>
    </row>
    <row r="53" spans="2:3" ht="15" customHeight="1">
      <c r="B53" s="35" t="s">
        <v>2684</v>
      </c>
      <c r="C53" s="33" t="s">
        <v>2685</v>
      </c>
    </row>
    <row r="54" spans="2:3" ht="15" customHeight="1">
      <c r="B54" s="36" t="s">
        <v>2686</v>
      </c>
      <c r="C54" s="34" t="s">
        <v>2687</v>
      </c>
    </row>
    <row r="55" spans="2:3" ht="15" customHeight="1">
      <c r="B55" s="35" t="s">
        <v>2688</v>
      </c>
      <c r="C55" s="33" t="s">
        <v>2689</v>
      </c>
    </row>
    <row r="56" spans="2:3" ht="15" customHeight="1">
      <c r="B56" s="36" t="s">
        <v>2690</v>
      </c>
      <c r="C56" s="34" t="s">
        <v>2691</v>
      </c>
    </row>
    <row r="57" spans="2:3" ht="15" customHeight="1">
      <c r="B57" s="35" t="s">
        <v>2692</v>
      </c>
      <c r="C57" s="33" t="s">
        <v>2693</v>
      </c>
    </row>
    <row r="58" spans="2:3" ht="15" customHeight="1">
      <c r="B58" s="36" t="s">
        <v>2694</v>
      </c>
      <c r="C58" s="34" t="s">
        <v>2695</v>
      </c>
    </row>
    <row r="59" spans="2:3" ht="15" customHeight="1">
      <c r="B59" s="35" t="s">
        <v>2696</v>
      </c>
      <c r="C59" s="33" t="s">
        <v>2697</v>
      </c>
    </row>
    <row r="60" spans="2:3" ht="15" customHeight="1">
      <c r="B60" s="36" t="s">
        <v>2698</v>
      </c>
      <c r="C60" s="34" t="s">
        <v>2699</v>
      </c>
    </row>
    <row r="61" spans="2:3" ht="15" customHeight="1">
      <c r="B61" s="35" t="s">
        <v>2700</v>
      </c>
      <c r="C61" s="33" t="s">
        <v>2701</v>
      </c>
    </row>
    <row r="62" spans="2:3" ht="15" customHeight="1">
      <c r="B62" s="36" t="s">
        <v>2702</v>
      </c>
      <c r="C62" s="34" t="s">
        <v>2703</v>
      </c>
    </row>
    <row r="63" spans="2:3" ht="15" customHeight="1">
      <c r="B63" s="35" t="s">
        <v>2704</v>
      </c>
      <c r="C63" s="33" t="s">
        <v>2705</v>
      </c>
    </row>
    <row r="64" spans="2:3" ht="15" customHeight="1">
      <c r="B64" s="36" t="s">
        <v>2706</v>
      </c>
      <c r="C64" s="34" t="s">
        <v>2707</v>
      </c>
    </row>
    <row r="65" spans="2:3" ht="15" customHeight="1">
      <c r="B65" s="35" t="s">
        <v>2708</v>
      </c>
      <c r="C65" s="33" t="s">
        <v>2709</v>
      </c>
    </row>
    <row r="66" spans="2:3" ht="15" customHeight="1">
      <c r="B66" s="36" t="s">
        <v>2710</v>
      </c>
      <c r="C66" s="34" t="s">
        <v>2711</v>
      </c>
    </row>
    <row r="67" spans="2:3" ht="15" customHeight="1">
      <c r="B67" s="35" t="s">
        <v>2712</v>
      </c>
      <c r="C67" s="33" t="s">
        <v>2713</v>
      </c>
    </row>
    <row r="68" spans="2:3" ht="15" customHeight="1">
      <c r="B68" s="36" t="s">
        <v>2714</v>
      </c>
      <c r="C68" s="34" t="s">
        <v>2715</v>
      </c>
    </row>
    <row r="69" spans="2:3" ht="15" customHeight="1">
      <c r="B69" s="35" t="s">
        <v>2716</v>
      </c>
      <c r="C69" s="33" t="s">
        <v>2717</v>
      </c>
    </row>
    <row r="70" spans="2:3" ht="15" customHeight="1">
      <c r="B70" s="36" t="s">
        <v>2718</v>
      </c>
      <c r="C70" s="34" t="s">
        <v>2719</v>
      </c>
    </row>
    <row r="71" spans="2:3" ht="15" customHeight="1">
      <c r="B71" s="35" t="s">
        <v>2720</v>
      </c>
      <c r="C71" s="33" t="s">
        <v>2721</v>
      </c>
    </row>
    <row r="72" spans="2:3" ht="15" customHeight="1">
      <c r="B72" s="36" t="s">
        <v>2722</v>
      </c>
      <c r="C72" s="34" t="s">
        <v>2723</v>
      </c>
    </row>
    <row r="73" spans="2:3" ht="15" customHeight="1">
      <c r="B73" s="35" t="s">
        <v>2724</v>
      </c>
      <c r="C73" s="33" t="s">
        <v>2725</v>
      </c>
    </row>
    <row r="74" spans="2:3" ht="15" customHeight="1">
      <c r="B74" s="36" t="s">
        <v>2726</v>
      </c>
      <c r="C74" s="34" t="s">
        <v>2727</v>
      </c>
    </row>
    <row r="75" spans="2:3" ht="15" customHeight="1">
      <c r="B75" s="35" t="s">
        <v>2728</v>
      </c>
      <c r="C75" s="33" t="s">
        <v>2729</v>
      </c>
    </row>
    <row r="76" spans="2:3" ht="15" customHeight="1">
      <c r="B76" s="36" t="s">
        <v>2730</v>
      </c>
      <c r="C76" s="34" t="s">
        <v>2731</v>
      </c>
    </row>
    <row r="77" spans="2:3" ht="15" customHeight="1">
      <c r="B77" s="35" t="s">
        <v>2732</v>
      </c>
      <c r="C77" s="33" t="s">
        <v>2733</v>
      </c>
    </row>
    <row r="78" spans="2:3" ht="15" customHeight="1">
      <c r="B78" s="36" t="s">
        <v>2734</v>
      </c>
      <c r="C78" s="34" t="s">
        <v>2735</v>
      </c>
    </row>
  </sheetData>
  <pageMargins left="0" right="0" top="0" bottom="0" header="0" footer="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A835-AE59-42AA-8DE8-5968B7246462}">
  <dimension ref="A1:C100"/>
  <sheetViews>
    <sheetView workbookViewId="0">
      <selection activeCell="A11" sqref="A11:XFD11"/>
    </sheetView>
  </sheetViews>
  <sheetFormatPr baseColWidth="10" defaultColWidth="8.83203125" defaultRowHeight="15"/>
  <cols>
    <col min="1" max="1" width="19.5" customWidth="1"/>
    <col min="2" max="2" width="109" customWidth="1"/>
    <col min="3" max="3" width="19.5" customWidth="1"/>
  </cols>
  <sheetData>
    <row r="1" spans="1:3">
      <c r="A1" s="5" t="s">
        <v>2463</v>
      </c>
      <c r="B1" s="5" t="s">
        <v>2291</v>
      </c>
    </row>
    <row r="2" spans="1:3" s="13" customFormat="1" ht="34">
      <c r="A2" s="13" t="s">
        <v>2736</v>
      </c>
      <c r="B2" s="31" t="s">
        <v>2737</v>
      </c>
    </row>
    <row r="3" spans="1:3" ht="34">
      <c r="A3" t="s">
        <v>2738</v>
      </c>
      <c r="B3" s="6" t="s">
        <v>2739</v>
      </c>
    </row>
    <row r="4" spans="1:3" ht="34">
      <c r="A4" t="s">
        <v>2740</v>
      </c>
      <c r="B4" s="6" t="s">
        <v>2741</v>
      </c>
    </row>
    <row r="5" spans="1:3" s="13" customFormat="1" ht="34">
      <c r="A5" s="13" t="s">
        <v>2742</v>
      </c>
      <c r="B5" s="31" t="s">
        <v>2743</v>
      </c>
    </row>
    <row r="6" spans="1:3" ht="34">
      <c r="A6" t="s">
        <v>2551</v>
      </c>
      <c r="B6" s="6" t="s">
        <v>2744</v>
      </c>
    </row>
    <row r="7" spans="1:3" s="41" customFormat="1" ht="51">
      <c r="A7" s="41" t="s">
        <v>2745</v>
      </c>
      <c r="B7" s="42" t="s">
        <v>2746</v>
      </c>
      <c r="C7" s="43" t="s">
        <v>2747</v>
      </c>
    </row>
    <row r="8" spans="1:3" s="13" customFormat="1" ht="34">
      <c r="A8" s="13" t="s">
        <v>2484</v>
      </c>
      <c r="B8" s="31" t="s">
        <v>2748</v>
      </c>
    </row>
    <row r="9" spans="1:3" s="13" customFormat="1" ht="34">
      <c r="A9" s="13" t="s">
        <v>2500</v>
      </c>
      <c r="B9" s="31" t="s">
        <v>2749</v>
      </c>
    </row>
    <row r="10" spans="1:3" s="13" customFormat="1" ht="34">
      <c r="A10" s="13" t="s">
        <v>2527</v>
      </c>
      <c r="B10" s="31" t="s">
        <v>2750</v>
      </c>
    </row>
    <row r="11" spans="1:3" s="13" customFormat="1" ht="51">
      <c r="A11" s="13" t="s">
        <v>2575</v>
      </c>
      <c r="B11" s="31" t="s">
        <v>2751</v>
      </c>
    </row>
    <row r="12" spans="1:3" s="41" customFormat="1" ht="34">
      <c r="A12" s="41" t="s">
        <v>2548</v>
      </c>
      <c r="B12" s="42" t="s">
        <v>2752</v>
      </c>
      <c r="C12" s="41" t="s">
        <v>2753</v>
      </c>
    </row>
    <row r="13" spans="1:3" s="13" customFormat="1" ht="64">
      <c r="A13" s="13" t="s">
        <v>2492</v>
      </c>
      <c r="B13" s="29" t="s">
        <v>2754</v>
      </c>
    </row>
    <row r="14" spans="1:3" s="13" customFormat="1" ht="32">
      <c r="A14" s="29" t="s">
        <v>2562</v>
      </c>
      <c r="B14" s="29" t="s">
        <v>2755</v>
      </c>
    </row>
    <row r="16" spans="1:3">
      <c r="A16" s="5" t="s">
        <v>2756</v>
      </c>
    </row>
    <row r="17" spans="1:1">
      <c r="A17" s="38" t="s">
        <v>2757</v>
      </c>
    </row>
    <row r="18" spans="1:1">
      <c r="A18" s="38" t="s">
        <v>2758</v>
      </c>
    </row>
    <row r="19" spans="1:1">
      <c r="A19" s="38" t="s">
        <v>2759</v>
      </c>
    </row>
    <row r="20" spans="1:1">
      <c r="A20" s="38" t="s">
        <v>2760</v>
      </c>
    </row>
    <row r="21" spans="1:1" ht="16">
      <c r="A21" s="39" t="s">
        <v>2761</v>
      </c>
    </row>
    <row r="22" spans="1:1">
      <c r="A22" s="38" t="s">
        <v>2762</v>
      </c>
    </row>
    <row r="23" spans="1:1">
      <c r="A23" s="38" t="s">
        <v>2763</v>
      </c>
    </row>
    <row r="24" spans="1:1">
      <c r="A24" s="38" t="s">
        <v>2764</v>
      </c>
    </row>
    <row r="25" spans="1:1" ht="16">
      <c r="A25" s="39" t="s">
        <v>2765</v>
      </c>
    </row>
    <row r="26" spans="1:1">
      <c r="A26" s="38" t="s">
        <v>2766</v>
      </c>
    </row>
    <row r="27" spans="1:1">
      <c r="A27" s="40" t="s">
        <v>2548</v>
      </c>
    </row>
    <row r="28" spans="1:1">
      <c r="A28" s="38" t="s">
        <v>2767</v>
      </c>
    </row>
    <row r="29" spans="1:1">
      <c r="A29" s="38" t="s">
        <v>2768</v>
      </c>
    </row>
    <row r="31" spans="1:1">
      <c r="A31" s="38"/>
    </row>
    <row r="32" spans="1:1">
      <c r="A32" s="38"/>
    </row>
    <row r="33" spans="1:1">
      <c r="A33" s="38"/>
    </row>
    <row r="34" spans="1:1">
      <c r="A34" s="38"/>
    </row>
    <row r="35" spans="1:1">
      <c r="A35" s="38"/>
    </row>
    <row r="36" spans="1:1">
      <c r="A36" s="38"/>
    </row>
    <row r="37" spans="1:1">
      <c r="A37" s="38"/>
    </row>
    <row r="38" spans="1:1">
      <c r="A38" s="38"/>
    </row>
    <row r="39" spans="1:1">
      <c r="A39" s="38"/>
    </row>
    <row r="40" spans="1:1">
      <c r="A40" s="7"/>
    </row>
    <row r="41" spans="1:1">
      <c r="A41" s="38"/>
    </row>
    <row r="42" spans="1:1">
      <c r="A42" s="38"/>
    </row>
    <row r="43" spans="1:1">
      <c r="A43" s="38"/>
    </row>
    <row r="44" spans="1:1">
      <c r="A44" s="38"/>
    </row>
    <row r="45" spans="1:1">
      <c r="A45" s="7"/>
    </row>
    <row r="46" spans="1:1">
      <c r="A46" s="39"/>
    </row>
    <row r="47" spans="1:1">
      <c r="A47" s="39"/>
    </row>
    <row r="48" spans="1:1">
      <c r="A48" s="7"/>
    </row>
    <row r="49" spans="1:1">
      <c r="A49" s="7"/>
    </row>
    <row r="50" spans="1:1">
      <c r="A50" s="7"/>
    </row>
    <row r="51" spans="1:1">
      <c r="A51" s="7"/>
    </row>
    <row r="52" spans="1:1">
      <c r="A52" s="7"/>
    </row>
    <row r="53" spans="1:1">
      <c r="A53" s="7"/>
    </row>
    <row r="54" spans="1:1">
      <c r="A54" s="7"/>
    </row>
    <row r="55" spans="1:1">
      <c r="A55" s="38"/>
    </row>
    <row r="56" spans="1:1">
      <c r="A56" s="7"/>
    </row>
    <row r="57" spans="1:1">
      <c r="A57" s="38"/>
    </row>
    <row r="58" spans="1:1">
      <c r="A58" s="38"/>
    </row>
    <row r="59" spans="1:1">
      <c r="A59" s="7"/>
    </row>
    <row r="60" spans="1:1">
      <c r="A60" s="38"/>
    </row>
    <row r="61" spans="1:1">
      <c r="A61" s="38"/>
    </row>
    <row r="62" spans="1:1">
      <c r="A62" s="38"/>
    </row>
    <row r="63" spans="1:1">
      <c r="A63" s="38"/>
    </row>
    <row r="64" spans="1:1">
      <c r="A64" s="7"/>
    </row>
    <row r="65" spans="1:1">
      <c r="A65" s="39"/>
    </row>
    <row r="66" spans="1:1">
      <c r="A66" s="39"/>
    </row>
    <row r="67" spans="1:1">
      <c r="A67" s="39"/>
    </row>
    <row r="68" spans="1:1">
      <c r="A68" s="39"/>
    </row>
    <row r="69" spans="1:1">
      <c r="A69" s="39"/>
    </row>
    <row r="70" spans="1:1">
      <c r="A70" s="39"/>
    </row>
    <row r="71" spans="1:1">
      <c r="A71" s="39"/>
    </row>
    <row r="72" spans="1:1">
      <c r="A72" s="7"/>
    </row>
    <row r="73" spans="1:1">
      <c r="A73" s="38"/>
    </row>
    <row r="74" spans="1:1">
      <c r="A74" s="38"/>
    </row>
    <row r="75" spans="1:1">
      <c r="A75" s="38"/>
    </row>
    <row r="76" spans="1:1">
      <c r="A76" s="38"/>
    </row>
    <row r="77" spans="1:1">
      <c r="A77" s="38"/>
    </row>
    <row r="78" spans="1:1">
      <c r="A78" s="38"/>
    </row>
    <row r="79" spans="1:1">
      <c r="A79" s="38"/>
    </row>
    <row r="80" spans="1:1">
      <c r="A80" s="38"/>
    </row>
    <row r="81" spans="1:1">
      <c r="A81" s="38"/>
    </row>
    <row r="82" spans="1:1">
      <c r="A82" s="38"/>
    </row>
    <row r="83" spans="1:1">
      <c r="A83" s="38"/>
    </row>
    <row r="84" spans="1:1">
      <c r="A84" s="38"/>
    </row>
    <row r="85" spans="1:1">
      <c r="A85" s="7"/>
    </row>
    <row r="86" spans="1:1">
      <c r="A86" s="40"/>
    </row>
    <row r="87" spans="1:1">
      <c r="A87" s="40"/>
    </row>
    <row r="88" spans="1:1">
      <c r="A88" s="40"/>
    </row>
    <row r="89" spans="1:1">
      <c r="A89" s="7"/>
    </row>
    <row r="90" spans="1:1">
      <c r="A90" s="38"/>
    </row>
    <row r="91" spans="1:1">
      <c r="A91" s="38"/>
    </row>
    <row r="92" spans="1:1">
      <c r="A92" s="38"/>
    </row>
    <row r="93" spans="1:1">
      <c r="A93" s="38"/>
    </row>
    <row r="94" spans="1:1">
      <c r="A94" s="38"/>
    </row>
    <row r="95" spans="1:1">
      <c r="A95" s="38"/>
    </row>
    <row r="96" spans="1:1">
      <c r="A96" s="38"/>
    </row>
    <row r="97" spans="1:1">
      <c r="A97" s="38"/>
    </row>
    <row r="98" spans="1:1">
      <c r="A98" s="38"/>
    </row>
    <row r="99" spans="1:1">
      <c r="A99" s="38"/>
    </row>
    <row r="100" spans="1:1">
      <c r="A100"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Accepted Paper</vt:lpstr>
      <vt:lpstr>ThreatsPerAssetType</vt:lpstr>
      <vt:lpstr>ThreatsPerProtocol</vt:lpstr>
      <vt:lpstr>Asset Types</vt:lpstr>
      <vt:lpstr>Protocols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Daniele Granata</cp:lastModifiedBy>
  <cp:revision/>
  <dcterms:created xsi:type="dcterms:W3CDTF">2025-10-15T09:16:32Z</dcterms:created>
  <dcterms:modified xsi:type="dcterms:W3CDTF">2026-03-25T19:53:12Z</dcterms:modified>
  <cp:category/>
  <cp:contentStatus/>
</cp:coreProperties>
</file>